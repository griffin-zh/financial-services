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¥#,##0.00;(¥#,##0.00);-"/>
    <numFmt numFmtId="166" formatCode="#,##0;(#,##0);-"/>
    <numFmt numFmtId="167" formatCode="0.0%"/>
    <numFmt numFmtId="168" formatCode="0.0"/>
    <numFmt numFmtId="169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000000"/>
      <sz val="11"/>
    </font>
    <font>
      <name val="Calibri"/>
      <color rgb="00008000"/>
      <sz val="11"/>
    </font>
    <font>
      <name val="Calibri"/>
      <color rgb="00000000"/>
      <sz val="11"/>
    </font>
    <font>
      <name val="Calibri"/>
      <b val="1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/>
    </border>
    <border>
      <left/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/>
      <top/>
      <bottom style="thick">
        <color rgb="00000000"/>
      </bottom>
    </border>
    <border>
      <left/>
      <right style="thick">
        <color rgb="00000000"/>
      </right>
      <top/>
      <bottom style="thick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0" borderId="0" pivotButton="0" quotePrefix="0" xfId="0"/>
    <xf numFmtId="1" fontId="6" fillId="4" borderId="0" pivotButton="0" quotePrefix="0" xfId="0"/>
    <xf numFmtId="0" fontId="3" fillId="4" borderId="0" applyAlignment="1" pivotButton="0" quotePrefix="0" xfId="0">
      <alignment horizontal="center"/>
    </xf>
    <xf numFmtId="0" fontId="1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5" fontId="4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4" fontId="4" fillId="0" borderId="5" pivotButton="0" quotePrefix="0" xfId="0"/>
    <xf numFmtId="166" fontId="4" fillId="0" borderId="5" pivotButton="0" quotePrefix="0" xfId="0"/>
    <xf numFmtId="0" fontId="0" fillId="0" borderId="7" pivotButton="0" quotePrefix="0" xfId="0"/>
    <xf numFmtId="166" fontId="2" fillId="3" borderId="8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5" borderId="4" pivotButton="0" quotePrefix="0" xfId="0"/>
    <xf numFmtId="0" fontId="3" fillId="5" borderId="5" applyAlignment="1" pivotButton="0" quotePrefix="0" xfId="0">
      <alignment horizontal="center"/>
    </xf>
    <xf numFmtId="167" fontId="2" fillId="3" borderId="5" pivotButton="0" quotePrefix="0" xfId="0"/>
    <xf numFmtId="10" fontId="2" fillId="3" borderId="5" pivotButton="0" quotePrefix="0" xfId="0"/>
    <xf numFmtId="10" fontId="2" fillId="3" borderId="8" pivotButton="0" quotePrefix="0" xfId="0"/>
    <xf numFmtId="0" fontId="3" fillId="0" borderId="4" pivotButton="0" quotePrefix="0" xfId="0"/>
    <xf numFmtId="167" fontId="5" fillId="0" borderId="5" pivotButton="0" quotePrefix="0" xfId="0"/>
    <xf numFmtId="10" fontId="5" fillId="0" borderId="5" pivotButton="0" quotePrefix="0" xfId="0"/>
    <xf numFmtId="0" fontId="3" fillId="0" borderId="7" pivotButton="0" quotePrefix="0" xfId="0"/>
    <xf numFmtId="10" fontId="5" fillId="0" borderId="8" pivotButton="0" quotePrefix="0" xfId="0"/>
    <xf numFmtId="0" fontId="3" fillId="5" borderId="6" applyAlignment="1" pivotButton="0" quotePrefix="0" xfId="0">
      <alignment horizontal="center"/>
    </xf>
    <xf numFmtId="166" fontId="2" fillId="3" borderId="5" pivotButton="0" quotePrefix="0" xfId="0"/>
    <xf numFmtId="166" fontId="0" fillId="0" borderId="5" pivotButton="0" quotePrefix="0" xfId="0"/>
    <xf numFmtId="166" fontId="0" fillId="0" borderId="6" pivotButton="0" quotePrefix="0" xfId="0"/>
    <xf numFmtId="0" fontId="5" fillId="0" borderId="4" pivotButton="0" quotePrefix="0" xfId="0"/>
    <xf numFmtId="167" fontId="0" fillId="0" borderId="5" pivotButton="0" quotePrefix="0" xfId="0"/>
    <xf numFmtId="167" fontId="0" fillId="0" borderId="6" pivotButton="0" quotePrefix="0" xfId="0"/>
    <xf numFmtId="166" fontId="0" fillId="0" borderId="8" pivotButton="0" quotePrefix="0" xfId="0"/>
    <xf numFmtId="166" fontId="0" fillId="0" borderId="9" pivotButton="0" quotePrefix="0" xfId="0"/>
    <xf numFmtId="0" fontId="3" fillId="4" borderId="4" pivotButton="0" quotePrefix="0" xfId="0"/>
    <xf numFmtId="166" fontId="3" fillId="4" borderId="5" pivotButton="0" quotePrefix="0" xfId="0"/>
    <xf numFmtId="166" fontId="3" fillId="4" borderId="6" pivotButton="0" quotePrefix="0" xfId="0"/>
    <xf numFmtId="168" fontId="2" fillId="0" borderId="5" pivotButton="0" quotePrefix="0" xfId="0"/>
    <xf numFmtId="168" fontId="2" fillId="0" borderId="6" pivotButton="0" quotePrefix="0" xfId="0"/>
    <xf numFmtId="169" fontId="0" fillId="0" borderId="5" pivotButton="0" quotePrefix="0" xfId="0"/>
    <xf numFmtId="169" fontId="0" fillId="0" borderId="6" pivotButton="0" quotePrefix="0" xfId="0"/>
    <xf numFmtId="0" fontId="3" fillId="4" borderId="7" pivotButton="0" quotePrefix="0" xfId="0"/>
    <xf numFmtId="166" fontId="3" fillId="4" borderId="8" pivotButton="0" quotePrefix="0" xfId="0"/>
    <xf numFmtId="166" fontId="3" fillId="4" borderId="9" pivotButton="0" quotePrefix="0" xfId="0"/>
    <xf numFmtId="165" fontId="3" fillId="4" borderId="5" pivotButton="0" quotePrefix="0" xfId="0"/>
    <xf numFmtId="167" fontId="3" fillId="4" borderId="5" pivotButton="0" quotePrefix="0" xfId="0"/>
    <xf numFmtId="167" fontId="0" fillId="0" borderId="8" pivotButton="0" quotePrefix="0" xfId="0"/>
    <xf numFmtId="10" fontId="3" fillId="5" borderId="5" applyAlignment="1" pivotButton="0" quotePrefix="0" xfId="0">
      <alignment horizontal="center"/>
    </xf>
    <xf numFmtId="10" fontId="3" fillId="5" borderId="4" pivotButton="0" quotePrefix="0" xfId="0"/>
    <xf numFmtId="165" fontId="5" fillId="0" borderId="5" pivotButton="0" quotePrefix="0" xfId="0"/>
    <xf numFmtId="10" fontId="3" fillId="5" borderId="7" pivotButton="0" quotePrefix="0" xfId="0"/>
    <xf numFmtId="165" fontId="5" fillId="0" borderId="8" pivotButton="0" quotePrefix="0" xfId="0"/>
    <xf numFmtId="167" fontId="3" fillId="5" borderId="5" applyAlignment="1" pivotButton="0" quotePrefix="0" xfId="0">
      <alignment horizontal="center"/>
    </xf>
    <xf numFmtId="167" fontId="3" fillId="5" borderId="4" pivotButton="0" quotePrefix="0" xfId="0"/>
    <xf numFmtId="167" fontId="3" fillId="5" borderId="7" pivotButton="0" quotePrefix="0" xfId="0"/>
    <xf numFmtId="164" fontId="3" fillId="5" borderId="4" pivotButton="0" quotePrefix="0" xfId="0"/>
    <xf numFmtId="164" fontId="3" fillId="5" borderId="7" pivotButton="0" quotePrefix="0" xfId="0"/>
    <xf numFmtId="164" fontId="2" fillId="3" borderId="5" pivotButton="0" quotePrefix="0" xfId="0"/>
    <xf numFmtId="10" fontId="3" fillId="4" borderId="8" pivotButton="0" quotePrefix="0" xfId="0"/>
    <xf numFmtId="165" fontId="2" fillId="3" borderId="5" pivotButton="0" quotePrefix="0" xfId="0"/>
    <xf numFmtId="4" fontId="2" fillId="3" borderId="5" pivotButton="0" quotePrefix="0" xfId="0"/>
    <xf numFmtId="166" fontId="3" fillId="0" borderId="5" pivotButton="0" quotePrefix="0" xfId="0"/>
    <xf numFmtId="166" fontId="3" fillId="0" borderId="8" pivotButton="0" quotePrefix="0" xfId="0"/>
    <xf numFmtId="0" fontId="3" fillId="5" borderId="5" pivotButton="0" quotePrefix="0" xfId="0"/>
    <xf numFmtId="0" fontId="3" fillId="5" borderId="6" pivotButton="0" quotePrefix="0" xfId="0"/>
    <xf numFmtId="10" fontId="0" fillId="0" borderId="5" pivotButton="0" quotePrefix="0" xfId="0"/>
    <xf numFmtId="10" fontId="4" fillId="0" borderId="5" pivotButton="0" quotePrefix="0" xfId="0"/>
    <xf numFmtId="10" fontId="0" fillId="0" borderId="6" pivotButton="0" quotePrefix="0" xfId="0"/>
    <xf numFmtId="10" fontId="3" fillId="4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builder</author>
  </authors>
  <commentList>
    <comment ref="B4" authorId="0" shapeId="0">
      <text>
        <t>Change to 1/2/3 to switch scenario. All downstream formulas update.</t>
      </text>
    </comment>
    <comment ref="B11" authorId="0" shapeId="0">
      <text>
        <t>Source: 2025 年报 少数股东权益 93.2 亿</t>
      </text>
    </comment>
    <comment ref="B16" authorId="0" shapeId="0">
      <text>
        <t>Bear Y1 收入增速</t>
      </text>
    </comment>
    <comment ref="C16" authorId="0" shapeId="0">
      <text>
        <t>Bear Y2 收入增速</t>
      </text>
    </comment>
    <comment ref="D16" authorId="0" shapeId="0">
      <text>
        <t>Bear Y3 收入增速</t>
      </text>
    </comment>
    <comment ref="E16" authorId="0" shapeId="0">
      <text>
        <t>Bear Y4 收入增速</t>
      </text>
    </comment>
    <comment ref="F16" authorId="0" shapeId="0">
      <text>
        <t>Bear Y5 收入增速</t>
      </text>
    </comment>
    <comment ref="G16" authorId="0" shapeId="0">
      <text>
        <t>Bear Y6 收入增速</t>
      </text>
    </comment>
    <comment ref="H16" authorId="0" shapeId="0">
      <text>
        <t>Bear Y7 收入增速</t>
      </text>
    </comment>
    <comment ref="I16" authorId="0" shapeId="0">
      <text>
        <t>Bear Y8 收入增速</t>
      </text>
    </comment>
    <comment ref="J16" authorId="0" shapeId="0">
      <text>
        <t>Bear Y9 收入增速</t>
      </text>
    </comment>
    <comment ref="K16" authorId="0" shapeId="0">
      <text>
        <t>Bear Y10 收入增速</t>
      </text>
    </comment>
    <comment ref="B17" authorId="0" shapeId="0">
      <text>
        <t>Bear Y1 营业利润率</t>
      </text>
    </comment>
    <comment ref="C17" authorId="0" shapeId="0">
      <text>
        <t>Bear Y2 营业利润率</t>
      </text>
    </comment>
    <comment ref="D17" authorId="0" shapeId="0">
      <text>
        <t>Bear Y3 营业利润率</t>
      </text>
    </comment>
    <comment ref="E17" authorId="0" shapeId="0">
      <text>
        <t>Bear Y4 营业利润率</t>
      </text>
    </comment>
    <comment ref="F17" authorId="0" shapeId="0">
      <text>
        <t>Bear Y5 营业利润率</t>
      </text>
    </comment>
    <comment ref="G17" authorId="0" shapeId="0">
      <text>
        <t>Bear Y6 营业利润率</t>
      </text>
    </comment>
    <comment ref="H17" authorId="0" shapeId="0">
      <text>
        <t>Bear Y7 营业利润率</t>
      </text>
    </comment>
    <comment ref="I17" authorId="0" shapeId="0">
      <text>
        <t>Bear Y8 营业利润率</t>
      </text>
    </comment>
    <comment ref="J17" authorId="0" shapeId="0">
      <text>
        <t>Bear Y9 营业利润率</t>
      </text>
    </comment>
    <comment ref="K17" authorId="0" shapeId="0">
      <text>
        <t>Bear Y10 营业利润率</t>
      </text>
    </comment>
    <comment ref="B18" authorId="0" shapeId="0">
      <text>
        <t>Bear D&amp;A % Rev (flat across 10Y)</t>
      </text>
    </comment>
    <comment ref="C18" authorId="0" shapeId="0">
      <text>
        <t>Bear D&amp;A % Rev (flat across 10Y)</t>
      </text>
    </comment>
    <comment ref="D18" authorId="0" shapeId="0">
      <text>
        <t>Bear D&amp;A % Rev (flat across 10Y)</t>
      </text>
    </comment>
    <comment ref="E18" authorId="0" shapeId="0">
      <text>
        <t>Bear D&amp;A % Rev (flat across 10Y)</t>
      </text>
    </comment>
    <comment ref="F18" authorId="0" shapeId="0">
      <text>
        <t>Bear D&amp;A % Rev (flat across 10Y)</t>
      </text>
    </comment>
    <comment ref="G18" authorId="0" shapeId="0">
      <text>
        <t>Bear D&amp;A % Rev (flat across 10Y)</t>
      </text>
    </comment>
    <comment ref="H18" authorId="0" shapeId="0">
      <text>
        <t>Bear D&amp;A % Rev (flat across 10Y)</t>
      </text>
    </comment>
    <comment ref="I18" authorId="0" shapeId="0">
      <text>
        <t>Bear D&amp;A % Rev (flat across 10Y)</t>
      </text>
    </comment>
    <comment ref="J18" authorId="0" shapeId="0">
      <text>
        <t>Bear D&amp;A % Rev (flat across 10Y)</t>
      </text>
    </comment>
    <comment ref="K18" authorId="0" shapeId="0">
      <text>
        <t>Bear D&amp;A % Rev (flat across 10Y)</t>
      </text>
    </comment>
    <comment ref="B19" authorId="0" shapeId="0">
      <text>
        <t>Bear CapEx % Rev (flat across 10Y)</t>
      </text>
    </comment>
    <comment ref="C19" authorId="0" shapeId="0">
      <text>
        <t>Bear CapEx % Rev (flat across 10Y)</t>
      </text>
    </comment>
    <comment ref="D19" authorId="0" shapeId="0">
      <text>
        <t>Bear CapEx % Rev (flat across 10Y)</t>
      </text>
    </comment>
    <comment ref="E19" authorId="0" shapeId="0">
      <text>
        <t>Bear CapEx % Rev (flat across 10Y)</t>
      </text>
    </comment>
    <comment ref="F19" authorId="0" shapeId="0">
      <text>
        <t>Bear CapEx % Rev (flat across 10Y)</t>
      </text>
    </comment>
    <comment ref="G19" authorId="0" shapeId="0">
      <text>
        <t>Bear CapEx % Rev (flat across 10Y)</t>
      </text>
    </comment>
    <comment ref="H19" authorId="0" shapeId="0">
      <text>
        <t>Bear CapEx % Rev (flat across 10Y)</t>
      </text>
    </comment>
    <comment ref="I19" authorId="0" shapeId="0">
      <text>
        <t>Bear CapEx % Rev (flat across 10Y)</t>
      </text>
    </comment>
    <comment ref="J19" authorId="0" shapeId="0">
      <text>
        <t>Bear CapEx % Rev (flat across 10Y)</t>
      </text>
    </comment>
    <comment ref="K19" authorId="0" shapeId="0">
      <text>
        <t>Bear CapEx % Rev (flat across 10Y)</t>
      </text>
    </comment>
    <comment ref="B20" authorId="0" shapeId="0">
      <text>
        <t>Bear ΔNWC % ΔRev (flat across 10Y)</t>
      </text>
    </comment>
    <comment ref="C20" authorId="0" shapeId="0">
      <text>
        <t>Bear ΔNWC % ΔRev (flat across 10Y)</t>
      </text>
    </comment>
    <comment ref="D20" authorId="0" shapeId="0">
      <text>
        <t>Bear ΔNWC % ΔRev (flat across 10Y)</t>
      </text>
    </comment>
    <comment ref="E20" authorId="0" shapeId="0">
      <text>
        <t>Bear ΔNWC % ΔRev (flat across 10Y)</t>
      </text>
    </comment>
    <comment ref="F20" authorId="0" shapeId="0">
      <text>
        <t>Bear ΔNWC % ΔRev (flat across 10Y)</t>
      </text>
    </comment>
    <comment ref="G20" authorId="0" shapeId="0">
      <text>
        <t>Bear ΔNWC % ΔRev (flat across 10Y)</t>
      </text>
    </comment>
    <comment ref="H20" authorId="0" shapeId="0">
      <text>
        <t>Bear ΔNWC % ΔRev (flat across 10Y)</t>
      </text>
    </comment>
    <comment ref="I20" authorId="0" shapeId="0">
      <text>
        <t>Bear ΔNWC % ΔRev (flat across 10Y)</t>
      </text>
    </comment>
    <comment ref="J20" authorId="0" shapeId="0">
      <text>
        <t>Bear ΔNWC % ΔRev (flat across 10Y)</t>
      </text>
    </comment>
    <comment ref="K20" authorId="0" shapeId="0">
      <text>
        <t>Bear ΔNWC % ΔRev (flat across 10Y)</t>
      </text>
    </comment>
    <comment ref="B21" authorId="0" shapeId="0">
      <text>
        <t>Bear terminal growth</t>
      </text>
    </comment>
    <comment ref="B22" authorId="0" shapeId="0">
      <text>
        <t>Bear WACC. Base = Rf+β·ERP = 2.7%+0.794·6.0% = 7.46%</t>
      </text>
    </comment>
    <comment ref="B26" authorId="0" shapeId="0">
      <text>
        <t>Base Y1 收入增速</t>
      </text>
    </comment>
    <comment ref="C26" authorId="0" shapeId="0">
      <text>
        <t>Base Y2 收入增速</t>
      </text>
    </comment>
    <comment ref="D26" authorId="0" shapeId="0">
      <text>
        <t>Base Y3 收入增速</t>
      </text>
    </comment>
    <comment ref="E26" authorId="0" shapeId="0">
      <text>
        <t>Base Y4 收入增速</t>
      </text>
    </comment>
    <comment ref="F26" authorId="0" shapeId="0">
      <text>
        <t>Base Y5 收入增速</t>
      </text>
    </comment>
    <comment ref="G26" authorId="0" shapeId="0">
      <text>
        <t>Base Y6 收入增速</t>
      </text>
    </comment>
    <comment ref="H26" authorId="0" shapeId="0">
      <text>
        <t>Base Y7 收入增速</t>
      </text>
    </comment>
    <comment ref="I26" authorId="0" shapeId="0">
      <text>
        <t>Base Y8 收入增速</t>
      </text>
    </comment>
    <comment ref="J26" authorId="0" shapeId="0">
      <text>
        <t>Base Y9 收入增速</t>
      </text>
    </comment>
    <comment ref="K26" authorId="0" shapeId="0">
      <text>
        <t>Base Y10 收入增速</t>
      </text>
    </comment>
    <comment ref="B27" authorId="0" shapeId="0">
      <text>
        <t>Base Y1 营业利润率</t>
      </text>
    </comment>
    <comment ref="C27" authorId="0" shapeId="0">
      <text>
        <t>Base Y2 营业利润率</t>
      </text>
    </comment>
    <comment ref="D27" authorId="0" shapeId="0">
      <text>
        <t>Base Y3 营业利润率</t>
      </text>
    </comment>
    <comment ref="E27" authorId="0" shapeId="0">
      <text>
        <t>Base Y4 营业利润率</t>
      </text>
    </comment>
    <comment ref="F27" authorId="0" shapeId="0">
      <text>
        <t>Base Y5 营业利润率</t>
      </text>
    </comment>
    <comment ref="G27" authorId="0" shapeId="0">
      <text>
        <t>Base Y6 营业利润率</t>
      </text>
    </comment>
    <comment ref="H27" authorId="0" shapeId="0">
      <text>
        <t>Base Y7 营业利润率</t>
      </text>
    </comment>
    <comment ref="I27" authorId="0" shapeId="0">
      <text>
        <t>Base Y8 营业利润率</t>
      </text>
    </comment>
    <comment ref="J27" authorId="0" shapeId="0">
      <text>
        <t>Base Y9 营业利润率</t>
      </text>
    </comment>
    <comment ref="K27" authorId="0" shapeId="0">
      <text>
        <t>Base Y10 营业利润率</t>
      </text>
    </comment>
    <comment ref="B28" authorId="0" shapeId="0">
      <text>
        <t>Base D&amp;A % Rev (flat across 10Y)</t>
      </text>
    </comment>
    <comment ref="C28" authorId="0" shapeId="0">
      <text>
        <t>Base D&amp;A % Rev (flat across 10Y)</t>
      </text>
    </comment>
    <comment ref="D28" authorId="0" shapeId="0">
      <text>
        <t>Base D&amp;A % Rev (flat across 10Y)</t>
      </text>
    </comment>
    <comment ref="E28" authorId="0" shapeId="0">
      <text>
        <t>Base D&amp;A % Rev (flat across 10Y)</t>
      </text>
    </comment>
    <comment ref="F28" authorId="0" shapeId="0">
      <text>
        <t>Base D&amp;A % Rev (flat across 10Y)</t>
      </text>
    </comment>
    <comment ref="G28" authorId="0" shapeId="0">
      <text>
        <t>Base D&amp;A % Rev (flat across 10Y)</t>
      </text>
    </comment>
    <comment ref="H28" authorId="0" shapeId="0">
      <text>
        <t>Base D&amp;A % Rev (flat across 10Y)</t>
      </text>
    </comment>
    <comment ref="I28" authorId="0" shapeId="0">
      <text>
        <t>Base D&amp;A % Rev (flat across 10Y)</t>
      </text>
    </comment>
    <comment ref="J28" authorId="0" shapeId="0">
      <text>
        <t>Base D&amp;A % Rev (flat across 10Y)</t>
      </text>
    </comment>
    <comment ref="K28" authorId="0" shapeId="0">
      <text>
        <t>Base D&amp;A % Rev (flat across 10Y)</t>
      </text>
    </comment>
    <comment ref="B29" authorId="0" shapeId="0">
      <text>
        <t>Base CapEx % Rev (flat across 10Y)</t>
      </text>
    </comment>
    <comment ref="C29" authorId="0" shapeId="0">
      <text>
        <t>Base CapEx % Rev (flat across 10Y)</t>
      </text>
    </comment>
    <comment ref="D29" authorId="0" shapeId="0">
      <text>
        <t>Base CapEx % Rev (flat across 10Y)</t>
      </text>
    </comment>
    <comment ref="E29" authorId="0" shapeId="0">
      <text>
        <t>Base CapEx % Rev (flat across 10Y)</t>
      </text>
    </comment>
    <comment ref="F29" authorId="0" shapeId="0">
      <text>
        <t>Base CapEx % Rev (flat across 10Y)</t>
      </text>
    </comment>
    <comment ref="G29" authorId="0" shapeId="0">
      <text>
        <t>Base CapEx % Rev (flat across 10Y)</t>
      </text>
    </comment>
    <comment ref="H29" authorId="0" shapeId="0">
      <text>
        <t>Base CapEx % Rev (flat across 10Y)</t>
      </text>
    </comment>
    <comment ref="I29" authorId="0" shapeId="0">
      <text>
        <t>Base CapEx % Rev (flat across 10Y)</t>
      </text>
    </comment>
    <comment ref="J29" authorId="0" shapeId="0">
      <text>
        <t>Base CapEx % Rev (flat across 10Y)</t>
      </text>
    </comment>
    <comment ref="K29" authorId="0" shapeId="0">
      <text>
        <t>Base CapEx % Rev (flat across 10Y)</t>
      </text>
    </comment>
    <comment ref="B30" authorId="0" shapeId="0">
      <text>
        <t>Base ΔNWC % ΔRev (flat across 10Y)</t>
      </text>
    </comment>
    <comment ref="C30" authorId="0" shapeId="0">
      <text>
        <t>Base ΔNWC % ΔRev (flat across 10Y)</t>
      </text>
    </comment>
    <comment ref="D30" authorId="0" shapeId="0">
      <text>
        <t>Base ΔNWC % ΔRev (flat across 10Y)</t>
      </text>
    </comment>
    <comment ref="E30" authorId="0" shapeId="0">
      <text>
        <t>Base ΔNWC % ΔRev (flat across 10Y)</t>
      </text>
    </comment>
    <comment ref="F30" authorId="0" shapeId="0">
      <text>
        <t>Base ΔNWC % ΔRev (flat across 10Y)</t>
      </text>
    </comment>
    <comment ref="G30" authorId="0" shapeId="0">
      <text>
        <t>Base ΔNWC % ΔRev (flat across 10Y)</t>
      </text>
    </comment>
    <comment ref="H30" authorId="0" shapeId="0">
      <text>
        <t>Base ΔNWC % ΔRev (flat across 10Y)</t>
      </text>
    </comment>
    <comment ref="I30" authorId="0" shapeId="0">
      <text>
        <t>Base ΔNWC % ΔRev (flat across 10Y)</t>
      </text>
    </comment>
    <comment ref="J30" authorId="0" shapeId="0">
      <text>
        <t>Base ΔNWC % ΔRev (flat across 10Y)</t>
      </text>
    </comment>
    <comment ref="K30" authorId="0" shapeId="0">
      <text>
        <t>Base ΔNWC % ΔRev (flat across 10Y)</t>
      </text>
    </comment>
    <comment ref="B31" authorId="0" shapeId="0">
      <text>
        <t>Base terminal growth</t>
      </text>
    </comment>
    <comment ref="B32" authorId="0" shapeId="0">
      <text>
        <t>Base WACC. Base = Rf+β·ERP = 2.7%+0.794·6.0% = 7.46%</t>
      </text>
    </comment>
    <comment ref="B36" authorId="0" shapeId="0">
      <text>
        <t>Bull Y1 收入增速</t>
      </text>
    </comment>
    <comment ref="C36" authorId="0" shapeId="0">
      <text>
        <t>Bull Y2 收入增速</t>
      </text>
    </comment>
    <comment ref="D36" authorId="0" shapeId="0">
      <text>
        <t>Bull Y3 收入增速</t>
      </text>
    </comment>
    <comment ref="E36" authorId="0" shapeId="0">
      <text>
        <t>Bull Y4 收入增速</t>
      </text>
    </comment>
    <comment ref="F36" authorId="0" shapeId="0">
      <text>
        <t>Bull Y5 收入增速</t>
      </text>
    </comment>
    <comment ref="G36" authorId="0" shapeId="0">
      <text>
        <t>Bull Y6 收入增速</t>
      </text>
    </comment>
    <comment ref="H36" authorId="0" shapeId="0">
      <text>
        <t>Bull Y7 收入增速</t>
      </text>
    </comment>
    <comment ref="I36" authorId="0" shapeId="0">
      <text>
        <t>Bull Y8 收入增速</t>
      </text>
    </comment>
    <comment ref="J36" authorId="0" shapeId="0">
      <text>
        <t>Bull Y9 收入增速</t>
      </text>
    </comment>
    <comment ref="K36" authorId="0" shapeId="0">
      <text>
        <t>Bull Y10 收入增速</t>
      </text>
    </comment>
    <comment ref="B37" authorId="0" shapeId="0">
      <text>
        <t>Bull Y1 营业利润率</t>
      </text>
    </comment>
    <comment ref="C37" authorId="0" shapeId="0">
      <text>
        <t>Bull Y2 营业利润率</t>
      </text>
    </comment>
    <comment ref="D37" authorId="0" shapeId="0">
      <text>
        <t>Bull Y3 营业利润率</t>
      </text>
    </comment>
    <comment ref="E37" authorId="0" shapeId="0">
      <text>
        <t>Bull Y4 营业利润率</t>
      </text>
    </comment>
    <comment ref="F37" authorId="0" shapeId="0">
      <text>
        <t>Bull Y5 营业利润率</t>
      </text>
    </comment>
    <comment ref="G37" authorId="0" shapeId="0">
      <text>
        <t>Bull Y6 营业利润率</t>
      </text>
    </comment>
    <comment ref="H37" authorId="0" shapeId="0">
      <text>
        <t>Bull Y7 营业利润率</t>
      </text>
    </comment>
    <comment ref="I37" authorId="0" shapeId="0">
      <text>
        <t>Bull Y8 营业利润率</t>
      </text>
    </comment>
    <comment ref="J37" authorId="0" shapeId="0">
      <text>
        <t>Bull Y9 营业利润率</t>
      </text>
    </comment>
    <comment ref="K37" authorId="0" shapeId="0">
      <text>
        <t>Bull Y10 营业利润率</t>
      </text>
    </comment>
    <comment ref="B38" authorId="0" shapeId="0">
      <text>
        <t>Bull D&amp;A % Rev (flat across 10Y)</t>
      </text>
    </comment>
    <comment ref="C38" authorId="0" shapeId="0">
      <text>
        <t>Bull D&amp;A % Rev (flat across 10Y)</t>
      </text>
    </comment>
    <comment ref="D38" authorId="0" shapeId="0">
      <text>
        <t>Bull D&amp;A % Rev (flat across 10Y)</t>
      </text>
    </comment>
    <comment ref="E38" authorId="0" shapeId="0">
      <text>
        <t>Bull D&amp;A % Rev (flat across 10Y)</t>
      </text>
    </comment>
    <comment ref="F38" authorId="0" shapeId="0">
      <text>
        <t>Bull D&amp;A % Rev (flat across 10Y)</t>
      </text>
    </comment>
    <comment ref="G38" authorId="0" shapeId="0">
      <text>
        <t>Bull D&amp;A % Rev (flat across 10Y)</t>
      </text>
    </comment>
    <comment ref="H38" authorId="0" shapeId="0">
      <text>
        <t>Bull D&amp;A % Rev (flat across 10Y)</t>
      </text>
    </comment>
    <comment ref="I38" authorId="0" shapeId="0">
      <text>
        <t>Bull D&amp;A % Rev (flat across 10Y)</t>
      </text>
    </comment>
    <comment ref="J38" authorId="0" shapeId="0">
      <text>
        <t>Bull D&amp;A % Rev (flat across 10Y)</t>
      </text>
    </comment>
    <comment ref="K38" authorId="0" shapeId="0">
      <text>
        <t>Bull D&amp;A % Rev (flat across 10Y)</t>
      </text>
    </comment>
    <comment ref="B39" authorId="0" shapeId="0">
      <text>
        <t>Bull CapEx % Rev (flat across 10Y)</t>
      </text>
    </comment>
    <comment ref="C39" authorId="0" shapeId="0">
      <text>
        <t>Bull CapEx % Rev (flat across 10Y)</t>
      </text>
    </comment>
    <comment ref="D39" authorId="0" shapeId="0">
      <text>
        <t>Bull CapEx % Rev (flat across 10Y)</t>
      </text>
    </comment>
    <comment ref="E39" authorId="0" shapeId="0">
      <text>
        <t>Bull CapEx % Rev (flat across 10Y)</t>
      </text>
    </comment>
    <comment ref="F39" authorId="0" shapeId="0">
      <text>
        <t>Bull CapEx % Rev (flat across 10Y)</t>
      </text>
    </comment>
    <comment ref="G39" authorId="0" shapeId="0">
      <text>
        <t>Bull CapEx % Rev (flat across 10Y)</t>
      </text>
    </comment>
    <comment ref="H39" authorId="0" shapeId="0">
      <text>
        <t>Bull CapEx % Rev (flat across 10Y)</t>
      </text>
    </comment>
    <comment ref="I39" authorId="0" shapeId="0">
      <text>
        <t>Bull CapEx % Rev (flat across 10Y)</t>
      </text>
    </comment>
    <comment ref="J39" authorId="0" shapeId="0">
      <text>
        <t>Bull CapEx % Rev (flat across 10Y)</t>
      </text>
    </comment>
    <comment ref="K39" authorId="0" shapeId="0">
      <text>
        <t>Bull CapEx % Rev (flat across 10Y)</t>
      </text>
    </comment>
    <comment ref="B40" authorId="0" shapeId="0">
      <text>
        <t>Bull ΔNWC % ΔRev (flat across 10Y)</t>
      </text>
    </comment>
    <comment ref="C40" authorId="0" shapeId="0">
      <text>
        <t>Bull ΔNWC % ΔRev (flat across 10Y)</t>
      </text>
    </comment>
    <comment ref="D40" authorId="0" shapeId="0">
      <text>
        <t>Bull ΔNWC % ΔRev (flat across 10Y)</t>
      </text>
    </comment>
    <comment ref="E40" authorId="0" shapeId="0">
      <text>
        <t>Bull ΔNWC % ΔRev (flat across 10Y)</t>
      </text>
    </comment>
    <comment ref="F40" authorId="0" shapeId="0">
      <text>
        <t>Bull ΔNWC % ΔRev (flat across 10Y)</t>
      </text>
    </comment>
    <comment ref="G40" authorId="0" shapeId="0">
      <text>
        <t>Bull ΔNWC % ΔRev (flat across 10Y)</t>
      </text>
    </comment>
    <comment ref="H40" authorId="0" shapeId="0">
      <text>
        <t>Bull ΔNWC % ΔRev (flat across 10Y)</t>
      </text>
    </comment>
    <comment ref="I40" authorId="0" shapeId="0">
      <text>
        <t>Bull ΔNWC % ΔRev (flat across 10Y)</t>
      </text>
    </comment>
    <comment ref="J40" authorId="0" shapeId="0">
      <text>
        <t>Bull ΔNWC % ΔRev (flat across 10Y)</t>
      </text>
    </comment>
    <comment ref="K40" authorId="0" shapeId="0">
      <text>
        <t>Bull ΔNWC % ΔRev (flat across 10Y)</t>
      </text>
    </comment>
    <comment ref="B41" authorId="0" shapeId="0">
      <text>
        <t>Bull terminal growth</t>
      </text>
    </comment>
    <comment ref="B42" authorId="0" shapeId="0">
      <text>
        <t>Bull WACC. Base = Rf+β·ERP = 2.7%+0.794·6.0% = 7.46%</t>
      </text>
    </comment>
    <comment ref="B57" authorId="0" shapeId="0">
      <text>
        <t>Source: 利润表 2020 年报 营业总收入</t>
      </text>
    </comment>
    <comment ref="C57" authorId="0" shapeId="0">
      <text>
        <t>Source: 利润表 2021 年报 营业总收入</t>
      </text>
    </comment>
    <comment ref="D57" authorId="0" shapeId="0">
      <text>
        <t>Source: 利润表 2022 年报 营业总收入</t>
      </text>
    </comment>
    <comment ref="E57" authorId="0" shapeId="0">
      <text>
        <t>Source: 利润表 2023 年报 营业总收入</t>
      </text>
    </comment>
    <comment ref="F57" authorId="0" shapeId="0">
      <text>
        <t>Source: 利润表 2024 年报 营业总收入</t>
      </text>
    </comment>
    <comment ref="G57" authorId="0" shapeId="0">
      <text>
        <t>Source: 利润表 2025 年报 营业总收入</t>
      </text>
    </comment>
    <comment ref="B59" authorId="0" shapeId="0">
      <text>
        <t>Source: 利润表 2020 年报 营业利润</t>
      </text>
    </comment>
    <comment ref="C59" authorId="0" shapeId="0">
      <text>
        <t>Source: 利润表 2021 年报 营业利润</t>
      </text>
    </comment>
    <comment ref="D59" authorId="0" shapeId="0">
      <text>
        <t>Source: 利润表 2022 年报 营业利润</t>
      </text>
    </comment>
    <comment ref="E59" authorId="0" shapeId="0">
      <text>
        <t>Source: 利润表 2023 年报 营业利润</t>
      </text>
    </comment>
    <comment ref="F59" authorId="0" shapeId="0">
      <text>
        <t>Source: 利润表 2024 年报 营业利润</t>
      </text>
    </comment>
    <comment ref="G59" authorId="0" shapeId="0">
      <text>
        <t>Source: 利润表 2025 年报 营业利润</t>
      </text>
    </comment>
    <comment ref="H72" authorId="0" shapeId="0">
      <text>
        <t>Mid-year convention</t>
      </text>
    </comment>
    <comment ref="I72" authorId="0" shapeId="0">
      <text>
        <t>Mid-year convention</t>
      </text>
    </comment>
    <comment ref="J72" authorId="0" shapeId="0">
      <text>
        <t>Mid-year convention</t>
      </text>
    </comment>
    <comment ref="K72" authorId="0" shapeId="0">
      <text>
        <t>Mid-year convention</t>
      </text>
    </comment>
    <comment ref="L72" authorId="0" shapeId="0">
      <text>
        <t>Mid-year convention</t>
      </text>
    </comment>
    <comment ref="M72" authorId="0" shapeId="0">
      <text>
        <t>Mid-year convention</t>
      </text>
    </comment>
    <comment ref="N72" authorId="0" shapeId="0">
      <text>
        <t>Mid-year convention</t>
      </text>
    </comment>
    <comment ref="O72" authorId="0" shapeId="0">
      <text>
        <t>Mid-year convention</t>
      </text>
    </comment>
    <comment ref="P72" authorId="0" shapeId="0">
      <text>
        <t>Mid-year convention</t>
      </text>
    </comment>
    <comment ref="Q72" authorId="0" shapeId="0">
      <text>
        <t>Mid-year convention</t>
      </text>
    </comment>
    <comment ref="B87" authorId="0" shapeId="0">
      <text>
        <t>= Equity Value(亿元) × 100 / Shares(M) → ¥/股</t>
      </text>
    </comment>
    <comment ref="B110" authorId="0" shapeId="0">
      <text>
        <t>Base avg EBIT margin = 65.9%</t>
      </text>
    </comment>
    <comment ref="C110" authorId="0" shapeId="0">
      <text>
        <t>Base avg EBIT margin = 65.9%</t>
      </text>
    </comment>
    <comment ref="D110" authorId="0" shapeId="0">
      <text>
        <t>Base avg EBIT margin = 65.9%</t>
      </text>
    </comment>
    <comment ref="E110" authorId="0" shapeId="0">
      <text>
        <t>Base avg EBIT margin = 65.9%</t>
      </text>
    </comment>
    <comment ref="F110" authorId="0" shapeId="0">
      <text>
        <t>Base avg EBIT margin = 65.9%</t>
      </text>
    </comment>
    <comment ref="A111" authorId="0" shapeId="0">
      <text>
        <t>Base avg revenue growth = 4.3%</t>
      </text>
    </comment>
    <comment ref="A112" authorId="0" shapeId="0">
      <text>
        <t>Base avg revenue growth = 4.3%</t>
      </text>
    </comment>
    <comment ref="A113" authorId="0" shapeId="0">
      <text>
        <t>Base avg revenue growth = 4.3%</t>
      </text>
    </comment>
    <comment ref="A114" authorId="0" shapeId="0">
      <text>
        <t>Base avg revenue growth = 4.3%</t>
      </text>
    </comment>
    <comment ref="A115" authorId="0" shapeId="0">
      <text>
        <t>Base avg revenue growth = 4.3%</t>
      </text>
    </comment>
  </commentList>
</comments>
</file>

<file path=xl/comments/comment2.xml><?xml version="1.0" encoding="utf-8"?>
<comments xmlns="http://schemas.openxmlformats.org/spreadsheetml/2006/main">
  <authors>
    <author>DCF builder</author>
  </authors>
  <commentList>
    <comment ref="B4" authorId="0" shapeId="0">
      <text>
        <t>Source: 中央国债登记结算公司 2026-05-21 baseline, 请用最新数据复核</t>
      </text>
    </comment>
    <comment ref="B5" authorId="0" shapeId="0">
      <text>
        <t>Source: 自算 2026-05-21, akshare 3Y monthly, 36 obs, β=0.794</t>
      </text>
    </comment>
    <comment ref="B6" authorId="0" shapeId="0">
      <text>
        <t>Source: Damodaran China ERP 6.0% (range 5.5-6.5%)</t>
      </text>
    </comment>
    <comment ref="B10" authorId="0" shapeId="0">
      <text>
        <t>茅台无有息负债, 短/长期借款 = 0, 应付债券 = 0</t>
      </text>
    </comment>
    <comment ref="B11" authorId="0" shapeId="0">
      <text>
        <t>Source: 中国法定企业所得税率 25%</t>
      </text>
    </comment>
    <comment ref="B15" authorId="0" shapeId="0">
      <text>
        <t>Source: akshare 2026-05-18 close</t>
      </text>
    </comment>
    <comment ref="B16" authorId="0" shapeId="0">
      <text>
        <t>Source: akshare stock_individual_info_em 2026-05-21, 总股本=1,252,270,215</t>
      </text>
    </comment>
    <comment ref="B17" authorId="0" shapeId="0">
      <text>
        <t>= 股价 × 总股本(百万) / 100 → 亿元</t>
      </text>
    </comment>
    <comment ref="B18" authorId="0" shapeId="0">
      <text>
        <t>Source: 2025 年报 短期借款+长期借款+应付债券 = 0</t>
      </text>
    </comment>
    <comment ref="B19" authorId="0" shapeId="0">
      <text>
        <t>Source: 2025 年报 货币资金 516.9 亿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贵州茅台 (Kweichow Moutai) (600519.SH) — DCF Model</t>
        </is>
      </c>
    </row>
    <row r="2">
      <c r="A2" s="2" t="inlineStr">
        <is>
          <t>As of 2026-05-21 | Year End: 2025/12/31 | Currency: CNY (CAS) | Industry: 白酒Ⅱ (申万)</t>
        </is>
      </c>
    </row>
    <row r="4">
      <c r="A4" s="3" t="inlineStr">
        <is>
          <t>Case Selector (1=Bear, 2=Base, 3=Bull)</t>
        </is>
      </c>
      <c r="B4" s="4" t="n">
        <v>2</v>
      </c>
    </row>
    <row r="5">
      <c r="A5" s="3" t="inlineStr">
        <is>
          <t>Active Case</t>
        </is>
      </c>
      <c r="B5" s="5">
        <f>IF(B4=1,"Bear",IF(B4=2,"Base","Bull"))</f>
        <v/>
      </c>
    </row>
    <row r="7">
      <c r="A7" s="6" t="inlineStr">
        <is>
          <t>MARKET DATA (NOT case dependent)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9" t="inlineStr">
        <is>
          <t>Current Price (¥/share)</t>
        </is>
      </c>
      <c r="B8" s="10">
        <f>WACC!B15</f>
        <v/>
      </c>
      <c r="C8" s="11" t="n"/>
      <c r="D8" s="11" t="n"/>
      <c r="E8" s="11" t="n"/>
      <c r="F8" s="11" t="n"/>
      <c r="G8" s="11" t="n"/>
      <c r="H8" s="12" t="n"/>
    </row>
    <row r="9">
      <c r="A9" s="9" t="inlineStr">
        <is>
          <t>Shares Outstanding (M)</t>
        </is>
      </c>
      <c r="B9" s="13">
        <f>WACC!B16</f>
        <v/>
      </c>
      <c r="C9" s="11" t="n"/>
      <c r="D9" s="11" t="n"/>
      <c r="E9" s="11" t="n"/>
      <c r="F9" s="11" t="n"/>
      <c r="G9" s="11" t="n"/>
      <c r="H9" s="12" t="n"/>
    </row>
    <row r="10">
      <c r="A10" s="9" t="inlineStr">
        <is>
          <t>Net Debt (亿元) [+ debt / − cash]</t>
        </is>
      </c>
      <c r="B10" s="14">
        <f>WACC!B20</f>
        <v/>
      </c>
      <c r="C10" s="11" t="n"/>
      <c r="D10" s="11" t="n"/>
      <c r="E10" s="11" t="n"/>
      <c r="F10" s="11" t="n"/>
      <c r="G10" s="11" t="n"/>
      <c r="H10" s="12" t="n"/>
    </row>
    <row r="11">
      <c r="A11" s="15" t="inlineStr">
        <is>
          <t>Minority Interest (亿元)</t>
        </is>
      </c>
      <c r="B11" s="16" t="n">
        <v>93.2</v>
      </c>
      <c r="C11" s="17" t="n"/>
      <c r="D11" s="17" t="n"/>
      <c r="E11" s="17" t="n"/>
      <c r="F11" s="17" t="n"/>
      <c r="G11" s="17" t="n"/>
      <c r="H11" s="18" t="n"/>
    </row>
    <row r="14">
      <c r="A14" s="6" t="inlineStr">
        <is>
          <t>BEAR CASE ASSUMPTIONS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</row>
    <row r="15">
      <c r="A15" s="19" t="inlineStr">
        <is>
          <t>Assumption</t>
        </is>
      </c>
      <c r="B15" s="20" t="inlineStr">
        <is>
          <t>FY1 (2026E)</t>
        </is>
      </c>
      <c r="C15" s="20" t="inlineStr">
        <is>
          <t>FY2 (2027E)</t>
        </is>
      </c>
      <c r="D15" s="20" t="inlineStr">
        <is>
          <t>FY3 (2028E)</t>
        </is>
      </c>
      <c r="E15" s="20" t="inlineStr">
        <is>
          <t>FY4 (2029E)</t>
        </is>
      </c>
      <c r="F15" s="20" t="inlineStr">
        <is>
          <t>FY5 (2030E)</t>
        </is>
      </c>
      <c r="G15" s="20" t="inlineStr">
        <is>
          <t>FY6 (2031E)</t>
        </is>
      </c>
      <c r="H15" s="20" t="inlineStr">
        <is>
          <t>FY7 (2032E)</t>
        </is>
      </c>
      <c r="I15" s="20" t="inlineStr">
        <is>
          <t>FY8 (2033E)</t>
        </is>
      </c>
      <c r="J15" s="20" t="inlineStr">
        <is>
          <t>FY9 (2034E)</t>
        </is>
      </c>
      <c r="K15" s="20" t="inlineStr">
        <is>
          <t>FY10 (2035E)</t>
        </is>
      </c>
      <c r="L15" s="12" t="n"/>
    </row>
    <row r="16">
      <c r="A16" s="9" t="inlineStr">
        <is>
          <t>Revenue Growth</t>
        </is>
      </c>
      <c r="B16" s="21" t="n">
        <v>0</v>
      </c>
      <c r="C16" s="21" t="n">
        <v>0.02</v>
      </c>
      <c r="D16" s="21" t="n">
        <v>0.03</v>
      </c>
      <c r="E16" s="21" t="n">
        <v>0.03</v>
      </c>
      <c r="F16" s="21" t="n">
        <v>0.03</v>
      </c>
      <c r="G16" s="21" t="n">
        <v>0.025</v>
      </c>
      <c r="H16" s="21" t="n">
        <v>0.022</v>
      </c>
      <c r="I16" s="21" t="n">
        <v>0.02</v>
      </c>
      <c r="J16" s="21" t="n">
        <v>0.018</v>
      </c>
      <c r="K16" s="21" t="n">
        <v>0.016</v>
      </c>
      <c r="L16" s="12" t="n"/>
    </row>
    <row r="17">
      <c r="A17" s="9" t="inlineStr">
        <is>
          <t>EBIT Margin</t>
        </is>
      </c>
      <c r="B17" s="21" t="n">
        <v>0.65</v>
      </c>
      <c r="C17" s="21" t="n">
        <v>0.64</v>
      </c>
      <c r="D17" s="21" t="n">
        <v>0.63</v>
      </c>
      <c r="E17" s="21" t="n">
        <v>0.625</v>
      </c>
      <c r="F17" s="21" t="n">
        <v>0.62</v>
      </c>
      <c r="G17" s="21" t="n">
        <v>0.615</v>
      </c>
      <c r="H17" s="21" t="n">
        <v>0.61</v>
      </c>
      <c r="I17" s="21" t="n">
        <v>0.605</v>
      </c>
      <c r="J17" s="21" t="n">
        <v>0.6</v>
      </c>
      <c r="K17" s="21" t="n">
        <v>0.6</v>
      </c>
      <c r="L17" s="12" t="n"/>
    </row>
    <row r="18">
      <c r="A18" s="9" t="inlineStr">
        <is>
          <t>D&amp;A % Rev</t>
        </is>
      </c>
      <c r="B18" s="21" t="n">
        <v>0.02</v>
      </c>
      <c r="C18" s="21" t="n">
        <v>0.02</v>
      </c>
      <c r="D18" s="21" t="n">
        <v>0.02</v>
      </c>
      <c r="E18" s="21" t="n">
        <v>0.02</v>
      </c>
      <c r="F18" s="21" t="n">
        <v>0.02</v>
      </c>
      <c r="G18" s="21" t="n">
        <v>0.02</v>
      </c>
      <c r="H18" s="21" t="n">
        <v>0.02</v>
      </c>
      <c r="I18" s="21" t="n">
        <v>0.02</v>
      </c>
      <c r="J18" s="21" t="n">
        <v>0.02</v>
      </c>
      <c r="K18" s="21" t="n">
        <v>0.02</v>
      </c>
      <c r="L18" s="12" t="n"/>
    </row>
    <row r="19">
      <c r="A19" s="9" t="inlineStr">
        <is>
          <t>CapEx % Rev</t>
        </is>
      </c>
      <c r="B19" s="21" t="n">
        <v>0.025</v>
      </c>
      <c r="C19" s="21" t="n">
        <v>0.025</v>
      </c>
      <c r="D19" s="21" t="n">
        <v>0.025</v>
      </c>
      <c r="E19" s="21" t="n">
        <v>0.025</v>
      </c>
      <c r="F19" s="21" t="n">
        <v>0.025</v>
      </c>
      <c r="G19" s="21" t="n">
        <v>0.025</v>
      </c>
      <c r="H19" s="21" t="n">
        <v>0.025</v>
      </c>
      <c r="I19" s="21" t="n">
        <v>0.025</v>
      </c>
      <c r="J19" s="21" t="n">
        <v>0.025</v>
      </c>
      <c r="K19" s="21" t="n">
        <v>0.025</v>
      </c>
      <c r="L19" s="12" t="n"/>
    </row>
    <row r="20">
      <c r="A20" s="9" t="inlineStr">
        <is>
          <t>ΔNWC % ΔRev</t>
        </is>
      </c>
      <c r="B20" s="21" t="n">
        <v>0.05</v>
      </c>
      <c r="C20" s="21" t="n">
        <v>0.05</v>
      </c>
      <c r="D20" s="21" t="n">
        <v>0.05</v>
      </c>
      <c r="E20" s="21" t="n">
        <v>0.05</v>
      </c>
      <c r="F20" s="21" t="n">
        <v>0.05</v>
      </c>
      <c r="G20" s="21" t="n">
        <v>0.05</v>
      </c>
      <c r="H20" s="21" t="n">
        <v>0.05</v>
      </c>
      <c r="I20" s="21" t="n">
        <v>0.05</v>
      </c>
      <c r="J20" s="21" t="n">
        <v>0.05</v>
      </c>
      <c r="K20" s="21" t="n">
        <v>0.05</v>
      </c>
      <c r="L20" s="12" t="n"/>
    </row>
    <row r="21">
      <c r="A21" s="9" t="inlineStr">
        <is>
          <t>Terminal g</t>
        </is>
      </c>
      <c r="B21" s="22" t="n">
        <v>0.015</v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2" t="n"/>
    </row>
    <row r="22">
      <c r="A22" s="15" t="inlineStr">
        <is>
          <t>WACC</t>
        </is>
      </c>
      <c r="B22" s="23" t="n">
        <v>0.08500000000000001</v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8" t="n"/>
    </row>
    <row r="24">
      <c r="A24" s="6" t="inlineStr">
        <is>
          <t>BASE CASE ASSUMPTIONS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</row>
    <row r="25">
      <c r="A25" s="19" t="inlineStr">
        <is>
          <t>Assumption</t>
        </is>
      </c>
      <c r="B25" s="20" t="inlineStr">
        <is>
          <t>FY1 (2026E)</t>
        </is>
      </c>
      <c r="C25" s="20" t="inlineStr">
        <is>
          <t>FY2 (2027E)</t>
        </is>
      </c>
      <c r="D25" s="20" t="inlineStr">
        <is>
          <t>FY3 (2028E)</t>
        </is>
      </c>
      <c r="E25" s="20" t="inlineStr">
        <is>
          <t>FY4 (2029E)</t>
        </is>
      </c>
      <c r="F25" s="20" t="inlineStr">
        <is>
          <t>FY5 (2030E)</t>
        </is>
      </c>
      <c r="G25" s="20" t="inlineStr">
        <is>
          <t>FY6 (2031E)</t>
        </is>
      </c>
      <c r="H25" s="20" t="inlineStr">
        <is>
          <t>FY7 (2032E)</t>
        </is>
      </c>
      <c r="I25" s="20" t="inlineStr">
        <is>
          <t>FY8 (2033E)</t>
        </is>
      </c>
      <c r="J25" s="20" t="inlineStr">
        <is>
          <t>FY9 (2034E)</t>
        </is>
      </c>
      <c r="K25" s="20" t="inlineStr">
        <is>
          <t>FY10 (2035E)</t>
        </is>
      </c>
      <c r="L25" s="12" t="n"/>
    </row>
    <row r="26">
      <c r="A26" s="9" t="inlineStr">
        <is>
          <t>Revenue Growth</t>
        </is>
      </c>
      <c r="B26" s="21" t="n">
        <v>0.03</v>
      </c>
      <c r="C26" s="21" t="n">
        <v>0.05</v>
      </c>
      <c r="D26" s="21" t="n">
        <v>0.06</v>
      </c>
      <c r="E26" s="21" t="n">
        <v>0.06</v>
      </c>
      <c r="F26" s="21" t="n">
        <v>0.05</v>
      </c>
      <c r="G26" s="21" t="n">
        <v>0.045</v>
      </c>
      <c r="H26" s="21" t="n">
        <v>0.04</v>
      </c>
      <c r="I26" s="21" t="n">
        <v>0.035</v>
      </c>
      <c r="J26" s="21" t="n">
        <v>0.03</v>
      </c>
      <c r="K26" s="21" t="n">
        <v>0.027</v>
      </c>
      <c r="L26" s="12" t="n"/>
    </row>
    <row r="27">
      <c r="A27" s="9" t="inlineStr">
        <is>
          <t>EBIT Margin</t>
        </is>
      </c>
      <c r="B27" s="21" t="n">
        <v>0.67</v>
      </c>
      <c r="C27" s="21" t="n">
        <v>0.668</v>
      </c>
      <c r="D27" s="21" t="n">
        <v>0.665</v>
      </c>
      <c r="E27" s="21" t="n">
        <v>0.662</v>
      </c>
      <c r="F27" s="21" t="n">
        <v>0.66</v>
      </c>
      <c r="G27" s="21" t="n">
        <v>0.658</v>
      </c>
      <c r="H27" s="21" t="n">
        <v>0.655</v>
      </c>
      <c r="I27" s="21" t="n">
        <v>0.652</v>
      </c>
      <c r="J27" s="21" t="n">
        <v>0.65</v>
      </c>
      <c r="K27" s="21" t="n">
        <v>0.65</v>
      </c>
      <c r="L27" s="12" t="n"/>
    </row>
    <row r="28">
      <c r="A28" s="9" t="inlineStr">
        <is>
          <t>D&amp;A % Rev</t>
        </is>
      </c>
      <c r="B28" s="21" t="n">
        <v>0.02</v>
      </c>
      <c r="C28" s="21" t="n">
        <v>0.02</v>
      </c>
      <c r="D28" s="21" t="n">
        <v>0.02</v>
      </c>
      <c r="E28" s="21" t="n">
        <v>0.02</v>
      </c>
      <c r="F28" s="21" t="n">
        <v>0.02</v>
      </c>
      <c r="G28" s="21" t="n">
        <v>0.02</v>
      </c>
      <c r="H28" s="21" t="n">
        <v>0.02</v>
      </c>
      <c r="I28" s="21" t="n">
        <v>0.02</v>
      </c>
      <c r="J28" s="21" t="n">
        <v>0.02</v>
      </c>
      <c r="K28" s="21" t="n">
        <v>0.02</v>
      </c>
      <c r="L28" s="12" t="n"/>
    </row>
    <row r="29">
      <c r="A29" s="9" t="inlineStr">
        <is>
          <t>CapEx % Rev</t>
        </is>
      </c>
      <c r="B29" s="21" t="n">
        <v>0.02</v>
      </c>
      <c r="C29" s="21" t="n">
        <v>0.02</v>
      </c>
      <c r="D29" s="21" t="n">
        <v>0.02</v>
      </c>
      <c r="E29" s="21" t="n">
        <v>0.02</v>
      </c>
      <c r="F29" s="21" t="n">
        <v>0.02</v>
      </c>
      <c r="G29" s="21" t="n">
        <v>0.02</v>
      </c>
      <c r="H29" s="21" t="n">
        <v>0.02</v>
      </c>
      <c r="I29" s="21" t="n">
        <v>0.02</v>
      </c>
      <c r="J29" s="21" t="n">
        <v>0.02</v>
      </c>
      <c r="K29" s="21" t="n">
        <v>0.02</v>
      </c>
      <c r="L29" s="12" t="n"/>
    </row>
    <row r="30">
      <c r="A30" s="9" t="inlineStr">
        <is>
          <t>ΔNWC % ΔRev</t>
        </is>
      </c>
      <c r="B30" s="21" t="n">
        <v>0.03</v>
      </c>
      <c r="C30" s="21" t="n">
        <v>0.03</v>
      </c>
      <c r="D30" s="21" t="n">
        <v>0.03</v>
      </c>
      <c r="E30" s="21" t="n">
        <v>0.03</v>
      </c>
      <c r="F30" s="21" t="n">
        <v>0.03</v>
      </c>
      <c r="G30" s="21" t="n">
        <v>0.03</v>
      </c>
      <c r="H30" s="21" t="n">
        <v>0.03</v>
      </c>
      <c r="I30" s="21" t="n">
        <v>0.03</v>
      </c>
      <c r="J30" s="21" t="n">
        <v>0.03</v>
      </c>
      <c r="K30" s="21" t="n">
        <v>0.03</v>
      </c>
      <c r="L30" s="12" t="n"/>
    </row>
    <row r="31">
      <c r="A31" s="9" t="inlineStr">
        <is>
          <t>Terminal g</t>
        </is>
      </c>
      <c r="B31" s="22" t="n">
        <v>0.025</v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</row>
    <row r="32">
      <c r="A32" s="15" t="inlineStr">
        <is>
          <t>WACC</t>
        </is>
      </c>
      <c r="B32" s="23" t="n">
        <v>0.0746</v>
      </c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8" t="n"/>
    </row>
    <row r="34">
      <c r="A34" s="6" t="inlineStr">
        <is>
          <t>BULL CASE ASSUMPTIONS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8" t="n"/>
    </row>
    <row r="35">
      <c r="A35" s="19" t="inlineStr">
        <is>
          <t>Assumption</t>
        </is>
      </c>
      <c r="B35" s="20" t="inlineStr">
        <is>
          <t>FY1 (2026E)</t>
        </is>
      </c>
      <c r="C35" s="20" t="inlineStr">
        <is>
          <t>FY2 (2027E)</t>
        </is>
      </c>
      <c r="D35" s="20" t="inlineStr">
        <is>
          <t>FY3 (2028E)</t>
        </is>
      </c>
      <c r="E35" s="20" t="inlineStr">
        <is>
          <t>FY4 (2029E)</t>
        </is>
      </c>
      <c r="F35" s="20" t="inlineStr">
        <is>
          <t>FY5 (2030E)</t>
        </is>
      </c>
      <c r="G35" s="20" t="inlineStr">
        <is>
          <t>FY6 (2031E)</t>
        </is>
      </c>
      <c r="H35" s="20" t="inlineStr">
        <is>
          <t>FY7 (2032E)</t>
        </is>
      </c>
      <c r="I35" s="20" t="inlineStr">
        <is>
          <t>FY8 (2033E)</t>
        </is>
      </c>
      <c r="J35" s="20" t="inlineStr">
        <is>
          <t>FY9 (2034E)</t>
        </is>
      </c>
      <c r="K35" s="20" t="inlineStr">
        <is>
          <t>FY10 (2035E)</t>
        </is>
      </c>
      <c r="L35" s="12" t="n"/>
    </row>
    <row r="36">
      <c r="A36" s="9" t="inlineStr">
        <is>
          <t>Revenue Growth</t>
        </is>
      </c>
      <c r="B36" s="21" t="n">
        <v>0.06</v>
      </c>
      <c r="C36" s="21" t="n">
        <v>0.08</v>
      </c>
      <c r="D36" s="21" t="n">
        <v>0.09</v>
      </c>
      <c r="E36" s="21" t="n">
        <v>0.08</v>
      </c>
      <c r="F36" s="21" t="n">
        <v>0.07000000000000001</v>
      </c>
      <c r="G36" s="21" t="n">
        <v>0.062</v>
      </c>
      <c r="H36" s="21" t="n">
        <v>0.055</v>
      </c>
      <c r="I36" s="21" t="n">
        <v>0.048</v>
      </c>
      <c r="J36" s="21" t="n">
        <v>0.042</v>
      </c>
      <c r="K36" s="21" t="n">
        <v>0.038</v>
      </c>
      <c r="L36" s="12" t="n"/>
    </row>
    <row r="37">
      <c r="A37" s="9" t="inlineStr">
        <is>
          <t>EBIT Margin</t>
        </is>
      </c>
      <c r="B37" s="21" t="n">
        <v>0.68</v>
      </c>
      <c r="C37" s="21" t="n">
        <v>0.6850000000000001</v>
      </c>
      <c r="D37" s="21" t="n">
        <v>0.6850000000000001</v>
      </c>
      <c r="E37" s="21" t="n">
        <v>0.6899999999999999</v>
      </c>
      <c r="F37" s="21" t="n">
        <v>0.6899999999999999</v>
      </c>
      <c r="G37" s="21" t="n">
        <v>0.6899999999999999</v>
      </c>
      <c r="H37" s="21" t="n">
        <v>0.6899999999999999</v>
      </c>
      <c r="I37" s="21" t="n">
        <v>0.6899999999999999</v>
      </c>
      <c r="J37" s="21" t="n">
        <v>0.6899999999999999</v>
      </c>
      <c r="K37" s="21" t="n">
        <v>0.6899999999999999</v>
      </c>
      <c r="L37" s="12" t="n"/>
    </row>
    <row r="38">
      <c r="A38" s="9" t="inlineStr">
        <is>
          <t>D&amp;A % Rev</t>
        </is>
      </c>
      <c r="B38" s="21" t="n">
        <v>0.02</v>
      </c>
      <c r="C38" s="21" t="n">
        <v>0.02</v>
      </c>
      <c r="D38" s="21" t="n">
        <v>0.02</v>
      </c>
      <c r="E38" s="21" t="n">
        <v>0.02</v>
      </c>
      <c r="F38" s="21" t="n">
        <v>0.02</v>
      </c>
      <c r="G38" s="21" t="n">
        <v>0.02</v>
      </c>
      <c r="H38" s="21" t="n">
        <v>0.02</v>
      </c>
      <c r="I38" s="21" t="n">
        <v>0.02</v>
      </c>
      <c r="J38" s="21" t="n">
        <v>0.02</v>
      </c>
      <c r="K38" s="21" t="n">
        <v>0.02</v>
      </c>
      <c r="L38" s="12" t="n"/>
    </row>
    <row r="39">
      <c r="A39" s="9" t="inlineStr">
        <is>
          <t>CapEx % Rev</t>
        </is>
      </c>
      <c r="B39" s="21" t="n">
        <v>0.015</v>
      </c>
      <c r="C39" s="21" t="n">
        <v>0.015</v>
      </c>
      <c r="D39" s="21" t="n">
        <v>0.015</v>
      </c>
      <c r="E39" s="21" t="n">
        <v>0.015</v>
      </c>
      <c r="F39" s="21" t="n">
        <v>0.015</v>
      </c>
      <c r="G39" s="21" t="n">
        <v>0.015</v>
      </c>
      <c r="H39" s="21" t="n">
        <v>0.015</v>
      </c>
      <c r="I39" s="21" t="n">
        <v>0.015</v>
      </c>
      <c r="J39" s="21" t="n">
        <v>0.015</v>
      </c>
      <c r="K39" s="21" t="n">
        <v>0.015</v>
      </c>
      <c r="L39" s="12" t="n"/>
    </row>
    <row r="40">
      <c r="A40" s="9" t="inlineStr">
        <is>
          <t>ΔNWC % ΔRev</t>
        </is>
      </c>
      <c r="B40" s="21" t="n">
        <v>0.02</v>
      </c>
      <c r="C40" s="21" t="n">
        <v>0.02</v>
      </c>
      <c r="D40" s="21" t="n">
        <v>0.02</v>
      </c>
      <c r="E40" s="21" t="n">
        <v>0.02</v>
      </c>
      <c r="F40" s="21" t="n">
        <v>0.02</v>
      </c>
      <c r="G40" s="21" t="n">
        <v>0.02</v>
      </c>
      <c r="H40" s="21" t="n">
        <v>0.02</v>
      </c>
      <c r="I40" s="21" t="n">
        <v>0.02</v>
      </c>
      <c r="J40" s="21" t="n">
        <v>0.02</v>
      </c>
      <c r="K40" s="21" t="n">
        <v>0.02</v>
      </c>
      <c r="L40" s="12" t="n"/>
    </row>
    <row r="41">
      <c r="A41" s="9" t="inlineStr">
        <is>
          <t>Terminal g</t>
        </is>
      </c>
      <c r="B41" s="22" t="n">
        <v>0.035</v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</row>
    <row r="42">
      <c r="A42" s="15" t="inlineStr">
        <is>
          <t>WACC</t>
        </is>
      </c>
      <c r="B42" s="23" t="n">
        <v>0.065</v>
      </c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8" t="n"/>
    </row>
    <row r="45">
      <c r="A45" s="6" t="inlineStr">
        <is>
          <t>SELECTED CASE — CONSOLIDATION COLUMN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</row>
    <row r="46">
      <c r="A46" s="19" t="inlineStr">
        <is>
          <t>Item</t>
        </is>
      </c>
      <c r="B46" s="20" t="inlineStr">
        <is>
          <t>FY1 (2026E)</t>
        </is>
      </c>
      <c r="C46" s="20" t="inlineStr">
        <is>
          <t>FY2 (2027E)</t>
        </is>
      </c>
      <c r="D46" s="20" t="inlineStr">
        <is>
          <t>FY3 (2028E)</t>
        </is>
      </c>
      <c r="E46" s="20" t="inlineStr">
        <is>
          <t>FY4 (2029E)</t>
        </is>
      </c>
      <c r="F46" s="20" t="inlineStr">
        <is>
          <t>FY5 (2030E)</t>
        </is>
      </c>
      <c r="G46" s="20" t="inlineStr">
        <is>
          <t>FY6 (2031E)</t>
        </is>
      </c>
      <c r="H46" s="20" t="inlineStr">
        <is>
          <t>FY7 (2032E)</t>
        </is>
      </c>
      <c r="I46" s="20" t="inlineStr">
        <is>
          <t>FY8 (2033E)</t>
        </is>
      </c>
      <c r="J46" s="20" t="inlineStr">
        <is>
          <t>FY9 (2034E)</t>
        </is>
      </c>
      <c r="K46" s="20" t="inlineStr">
        <is>
          <t>FY10 (2035E)</t>
        </is>
      </c>
      <c r="L46" s="12" t="n"/>
    </row>
    <row r="47">
      <c r="A47" s="24" t="inlineStr">
        <is>
          <t>Revenue Growth</t>
        </is>
      </c>
      <c r="B47" s="25">
        <f>CHOOSE($B$4,B16,B26,B36)</f>
        <v/>
      </c>
      <c r="C47" s="25">
        <f>CHOOSE($B$4,C16,C26,C36)</f>
        <v/>
      </c>
      <c r="D47" s="25">
        <f>CHOOSE($B$4,D16,D26,D36)</f>
        <v/>
      </c>
      <c r="E47" s="25">
        <f>CHOOSE($B$4,E16,E26,E36)</f>
        <v/>
      </c>
      <c r="F47" s="25">
        <f>CHOOSE($B$4,F16,F26,F36)</f>
        <v/>
      </c>
      <c r="G47" s="25">
        <f>CHOOSE($B$4,G16,G26,G36)</f>
        <v/>
      </c>
      <c r="H47" s="25">
        <f>CHOOSE($B$4,H16,H26,H36)</f>
        <v/>
      </c>
      <c r="I47" s="25">
        <f>CHOOSE($B$4,I16,I26,I36)</f>
        <v/>
      </c>
      <c r="J47" s="25">
        <f>CHOOSE($B$4,J16,J26,J36)</f>
        <v/>
      </c>
      <c r="K47" s="25">
        <f>CHOOSE($B$4,K16,K26,K36)</f>
        <v/>
      </c>
      <c r="L47" s="12" t="n"/>
    </row>
    <row r="48">
      <c r="A48" s="24" t="inlineStr">
        <is>
          <t>EBIT Margin</t>
        </is>
      </c>
      <c r="B48" s="25">
        <f>CHOOSE($B$4,B17,B27,B37)</f>
        <v/>
      </c>
      <c r="C48" s="25">
        <f>CHOOSE($B$4,C17,C27,C37)</f>
        <v/>
      </c>
      <c r="D48" s="25">
        <f>CHOOSE($B$4,D17,D27,D37)</f>
        <v/>
      </c>
      <c r="E48" s="25">
        <f>CHOOSE($B$4,E17,E27,E37)</f>
        <v/>
      </c>
      <c r="F48" s="25">
        <f>CHOOSE($B$4,F17,F27,F37)</f>
        <v/>
      </c>
      <c r="G48" s="25">
        <f>CHOOSE($B$4,G17,G27,G37)</f>
        <v/>
      </c>
      <c r="H48" s="25">
        <f>CHOOSE($B$4,H17,H27,H37)</f>
        <v/>
      </c>
      <c r="I48" s="25">
        <f>CHOOSE($B$4,I17,I27,I37)</f>
        <v/>
      </c>
      <c r="J48" s="25">
        <f>CHOOSE($B$4,J17,J27,J37)</f>
        <v/>
      </c>
      <c r="K48" s="25">
        <f>CHOOSE($B$4,K17,K27,K37)</f>
        <v/>
      </c>
      <c r="L48" s="12" t="n"/>
    </row>
    <row r="49">
      <c r="A49" s="24" t="inlineStr">
        <is>
          <t>D&amp;A % Rev</t>
        </is>
      </c>
      <c r="B49" s="25">
        <f>CHOOSE($B$4,B18,B28,B38)</f>
        <v/>
      </c>
      <c r="C49" s="25">
        <f>CHOOSE($B$4,C18,C28,C38)</f>
        <v/>
      </c>
      <c r="D49" s="25">
        <f>CHOOSE($B$4,D18,D28,D38)</f>
        <v/>
      </c>
      <c r="E49" s="25">
        <f>CHOOSE($B$4,E18,E28,E38)</f>
        <v/>
      </c>
      <c r="F49" s="25">
        <f>CHOOSE($B$4,F18,F28,F38)</f>
        <v/>
      </c>
      <c r="G49" s="25">
        <f>CHOOSE($B$4,G18,G28,G38)</f>
        <v/>
      </c>
      <c r="H49" s="25">
        <f>CHOOSE($B$4,H18,H28,H38)</f>
        <v/>
      </c>
      <c r="I49" s="25">
        <f>CHOOSE($B$4,I18,I28,I38)</f>
        <v/>
      </c>
      <c r="J49" s="25">
        <f>CHOOSE($B$4,J18,J28,J38)</f>
        <v/>
      </c>
      <c r="K49" s="25">
        <f>CHOOSE($B$4,K18,K28,K38)</f>
        <v/>
      </c>
      <c r="L49" s="12" t="n"/>
    </row>
    <row r="50">
      <c r="A50" s="24" t="inlineStr">
        <is>
          <t>CapEx % Rev</t>
        </is>
      </c>
      <c r="B50" s="25">
        <f>CHOOSE($B$4,B19,B29,B39)</f>
        <v/>
      </c>
      <c r="C50" s="25">
        <f>CHOOSE($B$4,C19,C29,C39)</f>
        <v/>
      </c>
      <c r="D50" s="25">
        <f>CHOOSE($B$4,D19,D29,D39)</f>
        <v/>
      </c>
      <c r="E50" s="25">
        <f>CHOOSE($B$4,E19,E29,E39)</f>
        <v/>
      </c>
      <c r="F50" s="25">
        <f>CHOOSE($B$4,F19,F29,F39)</f>
        <v/>
      </c>
      <c r="G50" s="25">
        <f>CHOOSE($B$4,G19,G29,G39)</f>
        <v/>
      </c>
      <c r="H50" s="25">
        <f>CHOOSE($B$4,H19,H29,H39)</f>
        <v/>
      </c>
      <c r="I50" s="25">
        <f>CHOOSE($B$4,I19,I29,I39)</f>
        <v/>
      </c>
      <c r="J50" s="25">
        <f>CHOOSE($B$4,J19,J29,J39)</f>
        <v/>
      </c>
      <c r="K50" s="25">
        <f>CHOOSE($B$4,K19,K29,K39)</f>
        <v/>
      </c>
      <c r="L50" s="12" t="n"/>
    </row>
    <row r="51">
      <c r="A51" s="24" t="inlineStr">
        <is>
          <t>ΔNWC % ΔRev</t>
        </is>
      </c>
      <c r="B51" s="25">
        <f>CHOOSE($B$4,B20,B30,B40)</f>
        <v/>
      </c>
      <c r="C51" s="25">
        <f>CHOOSE($B$4,C20,C30,C40)</f>
        <v/>
      </c>
      <c r="D51" s="25">
        <f>CHOOSE($B$4,D20,D30,D40)</f>
        <v/>
      </c>
      <c r="E51" s="25">
        <f>CHOOSE($B$4,E20,E30,E40)</f>
        <v/>
      </c>
      <c r="F51" s="25">
        <f>CHOOSE($B$4,F20,F30,F40)</f>
        <v/>
      </c>
      <c r="G51" s="25">
        <f>CHOOSE($B$4,G20,G30,G40)</f>
        <v/>
      </c>
      <c r="H51" s="25">
        <f>CHOOSE($B$4,H20,H30,H40)</f>
        <v/>
      </c>
      <c r="I51" s="25">
        <f>CHOOSE($B$4,I20,I30,I40)</f>
        <v/>
      </c>
      <c r="J51" s="25">
        <f>CHOOSE($B$4,J20,J30,J40)</f>
        <v/>
      </c>
      <c r="K51" s="25">
        <f>CHOOSE($B$4,K20,K30,K40)</f>
        <v/>
      </c>
      <c r="L51" s="12" t="n"/>
    </row>
    <row r="52">
      <c r="A52" s="24" t="inlineStr">
        <is>
          <t>Terminal g</t>
        </is>
      </c>
      <c r="B52" s="26">
        <f>CHOOSE($B$4,B21,B31,B41)</f>
        <v/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2" t="n"/>
    </row>
    <row r="53">
      <c r="A53" s="27" t="inlineStr">
        <is>
          <t>WACC</t>
        </is>
      </c>
      <c r="B53" s="28">
        <f>CHOOSE($B$4,B22,B32,B42)</f>
        <v/>
      </c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8" t="n"/>
    </row>
    <row r="55">
      <c r="A55" s="6" t="inlineStr">
        <is>
          <t>HISTORICAL &amp; PROJECTED FINANCIALS (亿元)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8" t="n"/>
    </row>
    <row r="56">
      <c r="A56" s="19" t="inlineStr">
        <is>
          <t>Item</t>
        </is>
      </c>
      <c r="B56" s="20" t="inlineStr">
        <is>
          <t>2020</t>
        </is>
      </c>
      <c r="C56" s="20" t="inlineStr">
        <is>
          <t>2021</t>
        </is>
      </c>
      <c r="D56" s="20" t="inlineStr">
        <is>
          <t>2022</t>
        </is>
      </c>
      <c r="E56" s="20" t="inlineStr">
        <is>
          <t>2023</t>
        </is>
      </c>
      <c r="F56" s="20" t="inlineStr">
        <is>
          <t>2024</t>
        </is>
      </c>
      <c r="G56" s="20" t="inlineStr">
        <is>
          <t>2025</t>
        </is>
      </c>
      <c r="H56" s="20" t="inlineStr">
        <is>
          <t>2026E</t>
        </is>
      </c>
      <c r="I56" s="20" t="inlineStr">
        <is>
          <t>2027E</t>
        </is>
      </c>
      <c r="J56" s="20" t="inlineStr">
        <is>
          <t>2028E</t>
        </is>
      </c>
      <c r="K56" s="20" t="inlineStr">
        <is>
          <t>2029E</t>
        </is>
      </c>
      <c r="L56" s="20" t="inlineStr">
        <is>
          <t>2030E</t>
        </is>
      </c>
      <c r="M56" s="20" t="inlineStr">
        <is>
          <t>2031E</t>
        </is>
      </c>
      <c r="N56" s="20" t="inlineStr">
        <is>
          <t>2032E</t>
        </is>
      </c>
      <c r="O56" s="20" t="inlineStr">
        <is>
          <t>2033E</t>
        </is>
      </c>
      <c r="P56" s="20" t="inlineStr">
        <is>
          <t>2034E</t>
        </is>
      </c>
      <c r="Q56" s="29" t="inlineStr">
        <is>
          <t>2035E</t>
        </is>
      </c>
    </row>
    <row r="57">
      <c r="A57" s="24" t="inlineStr">
        <is>
          <t>Revenue</t>
        </is>
      </c>
      <c r="B57" s="30" t="n">
        <v>980</v>
      </c>
      <c r="C57" s="30" t="n">
        <v>1094.6</v>
      </c>
      <c r="D57" s="30" t="n">
        <v>1275.5</v>
      </c>
      <c r="E57" s="30" t="n">
        <v>1505.6</v>
      </c>
      <c r="F57" s="30" t="n">
        <v>1741.4</v>
      </c>
      <c r="G57" s="30" t="n">
        <v>1720.5</v>
      </c>
      <c r="H57" s="31">
        <f>G57*(1+B47)</f>
        <v/>
      </c>
      <c r="I57" s="31">
        <f>H57*(1+C47)</f>
        <v/>
      </c>
      <c r="J57" s="31">
        <f>I57*(1+D47)</f>
        <v/>
      </c>
      <c r="K57" s="31">
        <f>J57*(1+E47)</f>
        <v/>
      </c>
      <c r="L57" s="31">
        <f>K57*(1+F47)</f>
        <v/>
      </c>
      <c r="M57" s="31">
        <f>L57*(1+G47)</f>
        <v/>
      </c>
      <c r="N57" s="31">
        <f>M57*(1+H47)</f>
        <v/>
      </c>
      <c r="O57" s="31">
        <f>N57*(1+I47)</f>
        <v/>
      </c>
      <c r="P57" s="31">
        <f>O57*(1+J47)</f>
        <v/>
      </c>
      <c r="Q57" s="32">
        <f>P57*(1+K47)</f>
        <v/>
      </c>
    </row>
    <row r="58">
      <c r="A58" s="33" t="inlineStr">
        <is>
          <t xml:space="preserve">  YoY %</t>
        </is>
      </c>
      <c r="B58" s="11" t="n"/>
      <c r="C58" s="34">
        <f>IFERROR(C57/B57-1,0)</f>
        <v/>
      </c>
      <c r="D58" s="34">
        <f>IFERROR(D57/C57-1,0)</f>
        <v/>
      </c>
      <c r="E58" s="34">
        <f>IFERROR(E57/D57-1,0)</f>
        <v/>
      </c>
      <c r="F58" s="34">
        <f>IFERROR(F57/E57-1,0)</f>
        <v/>
      </c>
      <c r="G58" s="34">
        <f>IFERROR(G57/F57-1,0)</f>
        <v/>
      </c>
      <c r="H58" s="34">
        <f>IFERROR(H57/G57-1,0)</f>
        <v/>
      </c>
      <c r="I58" s="34">
        <f>IFERROR(I57/H57-1,0)</f>
        <v/>
      </c>
      <c r="J58" s="34">
        <f>IFERROR(J57/I57-1,0)</f>
        <v/>
      </c>
      <c r="K58" s="34">
        <f>IFERROR(K57/J57-1,0)</f>
        <v/>
      </c>
      <c r="L58" s="34">
        <f>IFERROR(L57/K57-1,0)</f>
        <v/>
      </c>
      <c r="M58" s="34">
        <f>IFERROR(M57/L57-1,0)</f>
        <v/>
      </c>
      <c r="N58" s="34">
        <f>IFERROR(N57/M57-1,0)</f>
        <v/>
      </c>
      <c r="O58" s="34">
        <f>IFERROR(O57/N57-1,0)</f>
        <v/>
      </c>
      <c r="P58" s="34">
        <f>IFERROR(P57/O57-1,0)</f>
        <v/>
      </c>
      <c r="Q58" s="35">
        <f>IFERROR(Q57/P57-1,0)</f>
        <v/>
      </c>
    </row>
    <row r="59">
      <c r="A59" s="24" t="inlineStr">
        <is>
          <t>EBIT (营业利润)</t>
        </is>
      </c>
      <c r="B59" s="30" t="n">
        <v>666.4</v>
      </c>
      <c r="C59" s="30" t="n">
        <v>747.5</v>
      </c>
      <c r="D59" s="30" t="n">
        <v>878.8</v>
      </c>
      <c r="E59" s="30" t="n">
        <v>1037.1</v>
      </c>
      <c r="F59" s="30" t="n">
        <v>1196.9</v>
      </c>
      <c r="G59" s="30" t="n">
        <v>1148.1</v>
      </c>
      <c r="H59" s="31">
        <f>H57*B48</f>
        <v/>
      </c>
      <c r="I59" s="31">
        <f>I57*C48</f>
        <v/>
      </c>
      <c r="J59" s="31">
        <f>J57*D48</f>
        <v/>
      </c>
      <c r="K59" s="31">
        <f>K57*E48</f>
        <v/>
      </c>
      <c r="L59" s="31">
        <f>L57*F48</f>
        <v/>
      </c>
      <c r="M59" s="31">
        <f>M57*G48</f>
        <v/>
      </c>
      <c r="N59" s="31">
        <f>N57*H48</f>
        <v/>
      </c>
      <c r="O59" s="31">
        <f>O57*I48</f>
        <v/>
      </c>
      <c r="P59" s="31">
        <f>P57*J48</f>
        <v/>
      </c>
      <c r="Q59" s="32">
        <f>Q57*K48</f>
        <v/>
      </c>
    </row>
    <row r="60">
      <c r="A60" s="33" t="inlineStr">
        <is>
          <t xml:space="preserve">  EBIT margin</t>
        </is>
      </c>
      <c r="B60" s="34">
        <f>IFERROR(B59/B57,0)</f>
        <v/>
      </c>
      <c r="C60" s="34">
        <f>IFERROR(C59/C57,0)</f>
        <v/>
      </c>
      <c r="D60" s="34">
        <f>IFERROR(D59/D57,0)</f>
        <v/>
      </c>
      <c r="E60" s="34">
        <f>IFERROR(E59/E57,0)</f>
        <v/>
      </c>
      <c r="F60" s="34">
        <f>IFERROR(F59/F57,0)</f>
        <v/>
      </c>
      <c r="G60" s="34">
        <f>IFERROR(G59/G57,0)</f>
        <v/>
      </c>
      <c r="H60" s="34">
        <f>IFERROR(H59/H57,0)</f>
        <v/>
      </c>
      <c r="I60" s="34">
        <f>IFERROR(I59/I57,0)</f>
        <v/>
      </c>
      <c r="J60" s="34">
        <f>IFERROR(J59/J57,0)</f>
        <v/>
      </c>
      <c r="K60" s="34">
        <f>IFERROR(K59/K57,0)</f>
        <v/>
      </c>
      <c r="L60" s="34">
        <f>IFERROR(L59/L57,0)</f>
        <v/>
      </c>
      <c r="M60" s="34">
        <f>IFERROR(M59/M57,0)</f>
        <v/>
      </c>
      <c r="N60" s="34">
        <f>IFERROR(N59/N57,0)</f>
        <v/>
      </c>
      <c r="O60" s="34">
        <f>IFERROR(O59/O57,0)</f>
        <v/>
      </c>
      <c r="P60" s="34">
        <f>IFERROR(P59/P57,0)</f>
        <v/>
      </c>
      <c r="Q60" s="35">
        <f>IFERROR(Q59/Q57,0)</f>
        <v/>
      </c>
    </row>
    <row r="61">
      <c r="A61" s="33" t="inlineStr">
        <is>
          <t>Tax (25%)</t>
        </is>
      </c>
      <c r="B61" s="11" t="n"/>
      <c r="C61" s="11" t="n"/>
      <c r="D61" s="11" t="n"/>
      <c r="E61" s="11" t="n"/>
      <c r="F61" s="11" t="n"/>
      <c r="G61" s="11" t="n"/>
      <c r="H61" s="31">
        <f>H59*0.25</f>
        <v/>
      </c>
      <c r="I61" s="31">
        <f>I59*0.25</f>
        <v/>
      </c>
      <c r="J61" s="31">
        <f>J59*0.25</f>
        <v/>
      </c>
      <c r="K61" s="31">
        <f>K59*0.25</f>
        <v/>
      </c>
      <c r="L61" s="31">
        <f>L59*0.25</f>
        <v/>
      </c>
      <c r="M61" s="31">
        <f>M59*0.25</f>
        <v/>
      </c>
      <c r="N61" s="31">
        <f>N59*0.25</f>
        <v/>
      </c>
      <c r="O61" s="31">
        <f>O59*0.25</f>
        <v/>
      </c>
      <c r="P61" s="31">
        <f>P59*0.25</f>
        <v/>
      </c>
      <c r="Q61" s="32">
        <f>Q59*0.25</f>
        <v/>
      </c>
    </row>
    <row r="62">
      <c r="A62" s="27" t="inlineStr">
        <is>
          <t>NOPAT</t>
        </is>
      </c>
      <c r="B62" s="17" t="n"/>
      <c r="C62" s="17" t="n"/>
      <c r="D62" s="17" t="n"/>
      <c r="E62" s="17" t="n"/>
      <c r="F62" s="17" t="n"/>
      <c r="G62" s="17" t="n"/>
      <c r="H62" s="36">
        <f>H59-H61</f>
        <v/>
      </c>
      <c r="I62" s="36">
        <f>I59-I61</f>
        <v/>
      </c>
      <c r="J62" s="36">
        <f>J59-J61</f>
        <v/>
      </c>
      <c r="K62" s="36">
        <f>K59-K61</f>
        <v/>
      </c>
      <c r="L62" s="36">
        <f>L59-L61</f>
        <v/>
      </c>
      <c r="M62" s="36">
        <f>M59-M61</f>
        <v/>
      </c>
      <c r="N62" s="36">
        <f>N59-N61</f>
        <v/>
      </c>
      <c r="O62" s="36">
        <f>O59-O61</f>
        <v/>
      </c>
      <c r="P62" s="36">
        <f>P59-P61</f>
        <v/>
      </c>
      <c r="Q62" s="37">
        <f>Q59-Q61</f>
        <v/>
      </c>
    </row>
    <row r="65">
      <c r="A65" s="6" t="inlineStr">
        <is>
          <t>FREE CASH FLOW (亿元)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8" t="n"/>
    </row>
    <row r="66">
      <c r="A66" s="19" t="inlineStr">
        <is>
          <t>Item</t>
        </is>
      </c>
      <c r="B66" s="11" t="n"/>
      <c r="C66" s="11" t="n"/>
      <c r="D66" s="11" t="n"/>
      <c r="E66" s="11" t="n"/>
      <c r="F66" s="11" t="n"/>
      <c r="G66" s="11" t="n"/>
      <c r="H66" s="20" t="inlineStr">
        <is>
          <t>2026E</t>
        </is>
      </c>
      <c r="I66" s="20" t="inlineStr">
        <is>
          <t>2027E</t>
        </is>
      </c>
      <c r="J66" s="20" t="inlineStr">
        <is>
          <t>2028E</t>
        </is>
      </c>
      <c r="K66" s="20" t="inlineStr">
        <is>
          <t>2029E</t>
        </is>
      </c>
      <c r="L66" s="20" t="inlineStr">
        <is>
          <t>2030E</t>
        </is>
      </c>
      <c r="M66" s="20" t="inlineStr">
        <is>
          <t>2031E</t>
        </is>
      </c>
      <c r="N66" s="20" t="inlineStr">
        <is>
          <t>2032E</t>
        </is>
      </c>
      <c r="O66" s="20" t="inlineStr">
        <is>
          <t>2033E</t>
        </is>
      </c>
      <c r="P66" s="20" t="inlineStr">
        <is>
          <t>2034E</t>
        </is>
      </c>
      <c r="Q66" s="29" t="inlineStr">
        <is>
          <t>2035E</t>
        </is>
      </c>
    </row>
    <row r="67">
      <c r="A67" s="33" t="inlineStr">
        <is>
          <t>NOPAT (from above)</t>
        </is>
      </c>
      <c r="B67" s="11" t="n"/>
      <c r="C67" s="11" t="n"/>
      <c r="D67" s="11" t="n"/>
      <c r="E67" s="11" t="n"/>
      <c r="F67" s="11" t="n"/>
      <c r="G67" s="11" t="n"/>
      <c r="H67" s="31">
        <f>H62</f>
        <v/>
      </c>
      <c r="I67" s="31">
        <f>I62</f>
        <v/>
      </c>
      <c r="J67" s="31">
        <f>J62</f>
        <v/>
      </c>
      <c r="K67" s="31">
        <f>K62</f>
        <v/>
      </c>
      <c r="L67" s="31">
        <f>L62</f>
        <v/>
      </c>
      <c r="M67" s="31">
        <f>M62</f>
        <v/>
      </c>
      <c r="N67" s="31">
        <f>N62</f>
        <v/>
      </c>
      <c r="O67" s="31">
        <f>O62</f>
        <v/>
      </c>
      <c r="P67" s="31">
        <f>P62</f>
        <v/>
      </c>
      <c r="Q67" s="32">
        <f>Q62</f>
        <v/>
      </c>
    </row>
    <row r="68">
      <c r="A68" s="33" t="inlineStr">
        <is>
          <t>(+) D&amp;A</t>
        </is>
      </c>
      <c r="B68" s="11" t="n"/>
      <c r="C68" s="11" t="n"/>
      <c r="D68" s="11" t="n"/>
      <c r="E68" s="11" t="n"/>
      <c r="F68" s="11" t="n"/>
      <c r="G68" s="11" t="n"/>
      <c r="H68" s="31">
        <f>H57*B49</f>
        <v/>
      </c>
      <c r="I68" s="31">
        <f>I57*C49</f>
        <v/>
      </c>
      <c r="J68" s="31">
        <f>J57*D49</f>
        <v/>
      </c>
      <c r="K68" s="31">
        <f>K57*E49</f>
        <v/>
      </c>
      <c r="L68" s="31">
        <f>L57*F49</f>
        <v/>
      </c>
      <c r="M68" s="31">
        <f>M57*G49</f>
        <v/>
      </c>
      <c r="N68" s="31">
        <f>N57*H49</f>
        <v/>
      </c>
      <c r="O68" s="31">
        <f>O57*I49</f>
        <v/>
      </c>
      <c r="P68" s="31">
        <f>P57*J49</f>
        <v/>
      </c>
      <c r="Q68" s="32">
        <f>Q57*K49</f>
        <v/>
      </c>
    </row>
    <row r="69">
      <c r="A69" s="33" t="inlineStr">
        <is>
          <t>(−) CapEx</t>
        </is>
      </c>
      <c r="B69" s="11" t="n"/>
      <c r="C69" s="11" t="n"/>
      <c r="D69" s="11" t="n"/>
      <c r="E69" s="11" t="n"/>
      <c r="F69" s="11" t="n"/>
      <c r="G69" s="11" t="n"/>
      <c r="H69" s="31">
        <f>H57*B50</f>
        <v/>
      </c>
      <c r="I69" s="31">
        <f>I57*C50</f>
        <v/>
      </c>
      <c r="J69" s="31">
        <f>J57*D50</f>
        <v/>
      </c>
      <c r="K69" s="31">
        <f>K57*E50</f>
        <v/>
      </c>
      <c r="L69" s="31">
        <f>L57*F50</f>
        <v/>
      </c>
      <c r="M69" s="31">
        <f>M57*G50</f>
        <v/>
      </c>
      <c r="N69" s="31">
        <f>N57*H50</f>
        <v/>
      </c>
      <c r="O69" s="31">
        <f>O57*I50</f>
        <v/>
      </c>
      <c r="P69" s="31">
        <f>P57*J50</f>
        <v/>
      </c>
      <c r="Q69" s="32">
        <f>Q57*K50</f>
        <v/>
      </c>
    </row>
    <row r="70">
      <c r="A70" s="33" t="inlineStr">
        <is>
          <t>(−) ΔNWC</t>
        </is>
      </c>
      <c r="B70" s="11" t="n"/>
      <c r="C70" s="11" t="n"/>
      <c r="D70" s="11" t="n"/>
      <c r="E70" s="11" t="n"/>
      <c r="F70" s="11" t="n"/>
      <c r="G70" s="11" t="n"/>
      <c r="H70" s="31">
        <f>(H57-G57)*B51</f>
        <v/>
      </c>
      <c r="I70" s="31">
        <f>(I57-H57)*C51</f>
        <v/>
      </c>
      <c r="J70" s="31">
        <f>(J57-I57)*D51</f>
        <v/>
      </c>
      <c r="K70" s="31">
        <f>(K57-J57)*E51</f>
        <v/>
      </c>
      <c r="L70" s="31">
        <f>(L57-K57)*F51</f>
        <v/>
      </c>
      <c r="M70" s="31">
        <f>(M57-L57)*G51</f>
        <v/>
      </c>
      <c r="N70" s="31">
        <f>(N57-M57)*H51</f>
        <v/>
      </c>
      <c r="O70" s="31">
        <f>(O57-N57)*I51</f>
        <v/>
      </c>
      <c r="P70" s="31">
        <f>(P57-O57)*J51</f>
        <v/>
      </c>
      <c r="Q70" s="32">
        <f>(Q57-P57)*K51</f>
        <v/>
      </c>
    </row>
    <row r="71">
      <c r="A71" s="38" t="inlineStr">
        <is>
          <t>Unlevered FCF</t>
        </is>
      </c>
      <c r="B71" s="11" t="n"/>
      <c r="C71" s="11" t="n"/>
      <c r="D71" s="11" t="n"/>
      <c r="E71" s="11" t="n"/>
      <c r="F71" s="11" t="n"/>
      <c r="G71" s="11" t="n"/>
      <c r="H71" s="39">
        <f>H67+H68-H69-H70</f>
        <v/>
      </c>
      <c r="I71" s="39">
        <f>I67+I68-I69-I70</f>
        <v/>
      </c>
      <c r="J71" s="39">
        <f>J67+J68-J69-J70</f>
        <v/>
      </c>
      <c r="K71" s="39">
        <f>K67+K68-K69-K70</f>
        <v/>
      </c>
      <c r="L71" s="39">
        <f>L67+L68-L69-L70</f>
        <v/>
      </c>
      <c r="M71" s="39">
        <f>M67+M68-M69-M70</f>
        <v/>
      </c>
      <c r="N71" s="39">
        <f>N67+N68-N69-N70</f>
        <v/>
      </c>
      <c r="O71" s="39">
        <f>O67+O68-O69-O70</f>
        <v/>
      </c>
      <c r="P71" s="39">
        <f>P67+P68-P69-P70</f>
        <v/>
      </c>
      <c r="Q71" s="40">
        <f>Q67+Q68-Q69-Q70</f>
        <v/>
      </c>
    </row>
    <row r="72">
      <c r="A72" s="33" t="inlineStr">
        <is>
          <t>Period (mid-year)</t>
        </is>
      </c>
      <c r="B72" s="11" t="n"/>
      <c r="C72" s="11" t="n"/>
      <c r="D72" s="11" t="n"/>
      <c r="E72" s="11" t="n"/>
      <c r="F72" s="11" t="n"/>
      <c r="G72" s="11" t="n"/>
      <c r="H72" s="41" t="n">
        <v>0.5</v>
      </c>
      <c r="I72" s="41" t="n">
        <v>1.5</v>
      </c>
      <c r="J72" s="41" t="n">
        <v>2.5</v>
      </c>
      <c r="K72" s="41" t="n">
        <v>3.5</v>
      </c>
      <c r="L72" s="41" t="n">
        <v>4.5</v>
      </c>
      <c r="M72" s="41" t="n">
        <v>5.5</v>
      </c>
      <c r="N72" s="41" t="n">
        <v>6.5</v>
      </c>
      <c r="O72" s="41" t="n">
        <v>7.5</v>
      </c>
      <c r="P72" s="41" t="n">
        <v>8.5</v>
      </c>
      <c r="Q72" s="42" t="n">
        <v>9.5</v>
      </c>
    </row>
    <row r="73">
      <c r="A73" s="33" t="inlineStr">
        <is>
          <t>Discount Factor</t>
        </is>
      </c>
      <c r="B73" s="11" t="n"/>
      <c r="C73" s="11" t="n"/>
      <c r="D73" s="11" t="n"/>
      <c r="E73" s="11" t="n"/>
      <c r="F73" s="11" t="n"/>
      <c r="G73" s="11" t="n"/>
      <c r="H73" s="43">
        <f>1/(1+$B$53)^H72</f>
        <v/>
      </c>
      <c r="I73" s="43">
        <f>1/(1+$B$53)^I72</f>
        <v/>
      </c>
      <c r="J73" s="43">
        <f>1/(1+$B$53)^J72</f>
        <v/>
      </c>
      <c r="K73" s="43">
        <f>1/(1+$B$53)^K72</f>
        <v/>
      </c>
      <c r="L73" s="43">
        <f>1/(1+$B$53)^L72</f>
        <v/>
      </c>
      <c r="M73" s="43">
        <f>1/(1+$B$53)^M72</f>
        <v/>
      </c>
      <c r="N73" s="43">
        <f>1/(1+$B$53)^N72</f>
        <v/>
      </c>
      <c r="O73" s="43">
        <f>1/(1+$B$53)^O72</f>
        <v/>
      </c>
      <c r="P73" s="43">
        <f>1/(1+$B$53)^P72</f>
        <v/>
      </c>
      <c r="Q73" s="44">
        <f>1/(1+$B$53)^Q72</f>
        <v/>
      </c>
    </row>
    <row r="74">
      <c r="A74" s="45" t="inlineStr">
        <is>
          <t>PV of FCF</t>
        </is>
      </c>
      <c r="B74" s="17" t="n"/>
      <c r="C74" s="17" t="n"/>
      <c r="D74" s="17" t="n"/>
      <c r="E74" s="17" t="n"/>
      <c r="F74" s="17" t="n"/>
      <c r="G74" s="17" t="n"/>
      <c r="H74" s="46">
        <f>H71*H73</f>
        <v/>
      </c>
      <c r="I74" s="46">
        <f>I71*I73</f>
        <v/>
      </c>
      <c r="J74" s="46">
        <f>J71*J73</f>
        <v/>
      </c>
      <c r="K74" s="46">
        <f>K71*K73</f>
        <v/>
      </c>
      <c r="L74" s="46">
        <f>L71*L73</f>
        <v/>
      </c>
      <c r="M74" s="46">
        <f>M71*M73</f>
        <v/>
      </c>
      <c r="N74" s="46">
        <f>N71*N73</f>
        <v/>
      </c>
      <c r="O74" s="46">
        <f>O71*O73</f>
        <v/>
      </c>
      <c r="P74" s="46">
        <f>P71*P73</f>
        <v/>
      </c>
      <c r="Q74" s="47">
        <f>Q71*Q73</f>
        <v/>
      </c>
    </row>
    <row r="77">
      <c r="A77" s="6" t="inlineStr">
        <is>
          <t>VALUATION SUMMARY (亿元)</t>
        </is>
      </c>
      <c r="B77" s="7" t="n"/>
      <c r="C77" s="7" t="n"/>
      <c r="D77" s="8" t="n"/>
    </row>
    <row r="78">
      <c r="A78" s="9" t="inlineStr">
        <is>
          <t>Sum of PV of Projected FCFs (10Y)</t>
        </is>
      </c>
      <c r="B78" s="31">
        <f>SUM(H74:Q74)</f>
        <v/>
      </c>
      <c r="C78" s="11" t="n"/>
      <c r="D78" s="12" t="n"/>
    </row>
    <row r="79">
      <c r="A79" s="9" t="inlineStr">
        <is>
          <t>Terminal FCF (FCF_Y10 × (1+g))</t>
        </is>
      </c>
      <c r="B79" s="31">
        <f>Q71*(1+$B$52)</f>
        <v/>
      </c>
      <c r="C79" s="11" t="n"/>
      <c r="D79" s="12" t="n"/>
    </row>
    <row r="80">
      <c r="A80" s="9" t="inlineStr">
        <is>
          <t>Terminal Value = TFCF / (WACC − g)</t>
        </is>
      </c>
      <c r="B80" s="31">
        <f>B79/($B$53-$B$52)</f>
        <v/>
      </c>
      <c r="C80" s="11" t="n"/>
      <c r="D80" s="12" t="n"/>
    </row>
    <row r="81">
      <c r="A81" s="9" t="inlineStr">
        <is>
          <t>PV of Terminal Value</t>
        </is>
      </c>
      <c r="B81" s="31">
        <f>B80/(1+$B$53)^Q72</f>
        <v/>
      </c>
      <c r="C81" s="11" t="n"/>
      <c r="D81" s="12" t="n"/>
    </row>
    <row r="82">
      <c r="A82" s="9" t="inlineStr">
        <is>
          <t>Enterprise Value</t>
        </is>
      </c>
      <c r="B82" s="39">
        <f>B78+B81</f>
        <v/>
      </c>
      <c r="C82" s="11" t="n"/>
      <c r="D82" s="12" t="n"/>
    </row>
    <row r="83">
      <c r="A83" s="9" t="inlineStr">
        <is>
          <t>(−) Net Debt [+ if cash]</t>
        </is>
      </c>
      <c r="B83" s="14">
        <f>B10</f>
        <v/>
      </c>
      <c r="C83" s="11" t="n"/>
      <c r="D83" s="12" t="n"/>
    </row>
    <row r="84">
      <c r="A84" s="9" t="inlineStr">
        <is>
          <t>(−) Minority Interest</t>
        </is>
      </c>
      <c r="B84" s="14">
        <f>B11</f>
        <v/>
      </c>
      <c r="C84" s="11" t="n"/>
      <c r="D84" s="12" t="n"/>
    </row>
    <row r="85">
      <c r="A85" s="9" t="inlineStr">
        <is>
          <t>Equity Value</t>
        </is>
      </c>
      <c r="B85" s="39">
        <f>B82-B83-B84</f>
        <v/>
      </c>
      <c r="C85" s="11" t="n"/>
      <c r="D85" s="12" t="n"/>
    </row>
    <row r="86">
      <c r="A86" s="9" t="inlineStr">
        <is>
          <t>Shares Outstanding (M)</t>
        </is>
      </c>
      <c r="B86" s="13">
        <f>B9</f>
        <v/>
      </c>
      <c r="C86" s="11" t="n"/>
      <c r="D86" s="12" t="n"/>
    </row>
    <row r="87">
      <c r="A87" s="9" t="inlineStr">
        <is>
          <t>Implied Price per Share (¥)</t>
        </is>
      </c>
      <c r="B87" s="48">
        <f>B85*100/B86</f>
        <v/>
      </c>
      <c r="C87" s="11" t="n"/>
      <c r="D87" s="12" t="n"/>
    </row>
    <row r="88">
      <c r="A88" s="9" t="inlineStr">
        <is>
          <t>Current Stock Price (¥)</t>
        </is>
      </c>
      <c r="B88" s="10">
        <f>B8</f>
        <v/>
      </c>
      <c r="C88" s="11" t="n"/>
      <c r="D88" s="12" t="n"/>
    </row>
    <row r="89">
      <c r="A89" s="9" t="inlineStr">
        <is>
          <t>Implied Upside/(Downside)</t>
        </is>
      </c>
      <c r="B89" s="49">
        <f>B87/B88-1</f>
        <v/>
      </c>
      <c r="C89" s="11" t="n"/>
      <c r="D89" s="12" t="n"/>
    </row>
    <row r="90">
      <c r="A90" s="15" t="inlineStr">
        <is>
          <t>Terminal Value % of EV (target 50-70%)</t>
        </is>
      </c>
      <c r="B90" s="50">
        <f>B81/B82</f>
        <v/>
      </c>
      <c r="C90" s="17" t="n"/>
      <c r="D90" s="18" t="n"/>
    </row>
    <row r="97">
      <c r="A97" s="6" t="inlineStr">
        <is>
          <t>SENSITIVITY 1 — WACC × Terminal Growth (Implied Price ¥/sh)</t>
        </is>
      </c>
      <c r="B97" s="7" t="n"/>
      <c r="C97" s="7" t="n"/>
      <c r="D97" s="7" t="n"/>
      <c r="E97" s="7" t="n"/>
      <c r="F97" s="7" t="n"/>
      <c r="G97" s="8" t="n"/>
    </row>
    <row r="98">
      <c r="A98" s="19" t="inlineStr">
        <is>
          <t>WACC \ g →</t>
        </is>
      </c>
      <c r="B98" s="51">
        <f>$B$52+-0.01</f>
        <v/>
      </c>
      <c r="C98" s="51">
        <f>$B$52+-0.005</f>
        <v/>
      </c>
      <c r="D98" s="51">
        <f>$B$52+0.0</f>
        <v/>
      </c>
      <c r="E98" s="51">
        <f>$B$52+0.005</f>
        <v/>
      </c>
      <c r="F98" s="51">
        <f>$B$52+0.01</f>
        <v/>
      </c>
      <c r="G98" s="12" t="n"/>
    </row>
    <row r="99">
      <c r="A99" s="52">
        <f>$B$53+-0.01</f>
        <v/>
      </c>
      <c r="B99" s="53">
        <f>IFERROR(((H71/(1+$A99)^0.5+I71/(1+$A99)^1.5+J71/(1+$A99)^2.5+K71/(1+$A99)^3.5+L71/(1+$A99)^4.5+M71/(1+$A99)^5.5+N71/(1+$A99)^6.5+O71/(1+$A99)^7.5+P71/(1+$A99)^8.5+Q71/(1+$A99)^9.5+(Q71*(1+B$98)/($A99-B$98))/(1+$A99)^9.5)-B83-B84)*100/B86,NA())</f>
        <v/>
      </c>
      <c r="C99" s="53">
        <f>IFERROR(((H71/(1+$A99)^0.5+I71/(1+$A99)^1.5+J71/(1+$A99)^2.5+K71/(1+$A99)^3.5+L71/(1+$A99)^4.5+M71/(1+$A99)^5.5+N71/(1+$A99)^6.5+O71/(1+$A99)^7.5+P71/(1+$A99)^8.5+Q71/(1+$A99)^9.5+(Q71*(1+C$98)/($A99-C$98))/(1+$A99)^9.5)-B83-B84)*100/B86,NA())</f>
        <v/>
      </c>
      <c r="D99" s="53">
        <f>IFERROR(((H71/(1+$A99)^0.5+I71/(1+$A99)^1.5+J71/(1+$A99)^2.5+K71/(1+$A99)^3.5+L71/(1+$A99)^4.5+M71/(1+$A99)^5.5+N71/(1+$A99)^6.5+O71/(1+$A99)^7.5+P71/(1+$A99)^8.5+Q71/(1+$A99)^9.5+(Q71*(1+D$98)/($A99-D$98))/(1+$A99)^9.5)-B83-B84)*100/B86,NA())</f>
        <v/>
      </c>
      <c r="E99" s="53">
        <f>IFERROR(((H71/(1+$A99)^0.5+I71/(1+$A99)^1.5+J71/(1+$A99)^2.5+K71/(1+$A99)^3.5+L71/(1+$A99)^4.5+M71/(1+$A99)^5.5+N71/(1+$A99)^6.5+O71/(1+$A99)^7.5+P71/(1+$A99)^8.5+Q71/(1+$A99)^9.5+(Q71*(1+E$98)/($A99-E$98))/(1+$A99)^9.5)-B83-B84)*100/B86,NA())</f>
        <v/>
      </c>
      <c r="F99" s="53">
        <f>IFERROR(((H71/(1+$A99)^0.5+I71/(1+$A99)^1.5+J71/(1+$A99)^2.5+K71/(1+$A99)^3.5+L71/(1+$A99)^4.5+M71/(1+$A99)^5.5+N71/(1+$A99)^6.5+O71/(1+$A99)^7.5+P71/(1+$A99)^8.5+Q71/(1+$A99)^9.5+(Q71*(1+F$98)/($A99-F$98))/(1+$A99)^9.5)-B83-B84)*100/B86,NA())</f>
        <v/>
      </c>
      <c r="G99" s="12" t="n"/>
    </row>
    <row r="100">
      <c r="A100" s="52">
        <f>$B$53+-0.005</f>
        <v/>
      </c>
      <c r="B100" s="53">
        <f>IFERROR(((H71/(1+$A100)^0.5+I71/(1+$A100)^1.5+J71/(1+$A100)^2.5+K71/(1+$A100)^3.5+L71/(1+$A100)^4.5+M71/(1+$A100)^5.5+N71/(1+$A100)^6.5+O71/(1+$A100)^7.5+P71/(1+$A100)^8.5+Q71/(1+$A100)^9.5+(Q71*(1+B$98)/($A100-B$98))/(1+$A100)^9.5)-B83-B84)*100/B86,NA())</f>
        <v/>
      </c>
      <c r="C100" s="53">
        <f>IFERROR(((H71/(1+$A100)^0.5+I71/(1+$A100)^1.5+J71/(1+$A100)^2.5+K71/(1+$A100)^3.5+L71/(1+$A100)^4.5+M71/(1+$A100)^5.5+N71/(1+$A100)^6.5+O71/(1+$A100)^7.5+P71/(1+$A100)^8.5+Q71/(1+$A100)^9.5+(Q71*(1+C$98)/($A100-C$98))/(1+$A100)^9.5)-B83-B84)*100/B86,NA())</f>
        <v/>
      </c>
      <c r="D100" s="53">
        <f>IFERROR(((H71/(1+$A100)^0.5+I71/(1+$A100)^1.5+J71/(1+$A100)^2.5+K71/(1+$A100)^3.5+L71/(1+$A100)^4.5+M71/(1+$A100)^5.5+N71/(1+$A100)^6.5+O71/(1+$A100)^7.5+P71/(1+$A100)^8.5+Q71/(1+$A100)^9.5+(Q71*(1+D$98)/($A100-D$98))/(1+$A100)^9.5)-B83-B84)*100/B86,NA())</f>
        <v/>
      </c>
      <c r="E100" s="53">
        <f>IFERROR(((H71/(1+$A100)^0.5+I71/(1+$A100)^1.5+J71/(1+$A100)^2.5+K71/(1+$A100)^3.5+L71/(1+$A100)^4.5+M71/(1+$A100)^5.5+N71/(1+$A100)^6.5+O71/(1+$A100)^7.5+P71/(1+$A100)^8.5+Q71/(1+$A100)^9.5+(Q71*(1+E$98)/($A100-E$98))/(1+$A100)^9.5)-B83-B84)*100/B86,NA())</f>
        <v/>
      </c>
      <c r="F100" s="53">
        <f>IFERROR(((H71/(1+$A100)^0.5+I71/(1+$A100)^1.5+J71/(1+$A100)^2.5+K71/(1+$A100)^3.5+L71/(1+$A100)^4.5+M71/(1+$A100)^5.5+N71/(1+$A100)^6.5+O71/(1+$A100)^7.5+P71/(1+$A100)^8.5+Q71/(1+$A100)^9.5+(Q71*(1+F$98)/($A100-F$98))/(1+$A100)^9.5)-B83-B84)*100/B86,NA())</f>
        <v/>
      </c>
      <c r="G100" s="12" t="n"/>
    </row>
    <row r="101">
      <c r="A101" s="52">
        <f>$B$53+0.0</f>
        <v/>
      </c>
      <c r="B101" s="53">
        <f>IFERROR(((H71/(1+$A101)^0.5+I71/(1+$A101)^1.5+J71/(1+$A101)^2.5+K71/(1+$A101)^3.5+L71/(1+$A101)^4.5+M71/(1+$A101)^5.5+N71/(1+$A101)^6.5+O71/(1+$A101)^7.5+P71/(1+$A101)^8.5+Q71/(1+$A101)^9.5+(Q71*(1+B$98)/($A101-B$98))/(1+$A101)^9.5)-B83-B84)*100/B86,NA())</f>
        <v/>
      </c>
      <c r="C101" s="53">
        <f>IFERROR(((H71/(1+$A101)^0.5+I71/(1+$A101)^1.5+J71/(1+$A101)^2.5+K71/(1+$A101)^3.5+L71/(1+$A101)^4.5+M71/(1+$A101)^5.5+N71/(1+$A101)^6.5+O71/(1+$A101)^7.5+P71/(1+$A101)^8.5+Q71/(1+$A101)^9.5+(Q71*(1+C$98)/($A101-C$98))/(1+$A101)^9.5)-B83-B84)*100/B86,NA())</f>
        <v/>
      </c>
      <c r="D101" s="48">
        <f>IFERROR(((H71/(1+$A101)^0.5+I71/(1+$A101)^1.5+J71/(1+$A101)^2.5+K71/(1+$A101)^3.5+L71/(1+$A101)^4.5+M71/(1+$A101)^5.5+N71/(1+$A101)^6.5+O71/(1+$A101)^7.5+P71/(1+$A101)^8.5+Q71/(1+$A101)^9.5+(Q71*(1+D$98)/($A101-D$98))/(1+$A101)^9.5)-B83-B84)*100/B86,NA())</f>
        <v/>
      </c>
      <c r="E101" s="53">
        <f>IFERROR(((H71/(1+$A101)^0.5+I71/(1+$A101)^1.5+J71/(1+$A101)^2.5+K71/(1+$A101)^3.5+L71/(1+$A101)^4.5+M71/(1+$A101)^5.5+N71/(1+$A101)^6.5+O71/(1+$A101)^7.5+P71/(1+$A101)^8.5+Q71/(1+$A101)^9.5+(Q71*(1+E$98)/($A101-E$98))/(1+$A101)^9.5)-B83-B84)*100/B86,NA())</f>
        <v/>
      </c>
      <c r="F101" s="53">
        <f>IFERROR(((H71/(1+$A101)^0.5+I71/(1+$A101)^1.5+J71/(1+$A101)^2.5+K71/(1+$A101)^3.5+L71/(1+$A101)^4.5+M71/(1+$A101)^5.5+N71/(1+$A101)^6.5+O71/(1+$A101)^7.5+P71/(1+$A101)^8.5+Q71/(1+$A101)^9.5+(Q71*(1+F$98)/($A101-F$98))/(1+$A101)^9.5)-B83-B84)*100/B86,NA())</f>
        <v/>
      </c>
      <c r="G101" s="12" t="n"/>
    </row>
    <row r="102">
      <c r="A102" s="52">
        <f>$B$53+0.005</f>
        <v/>
      </c>
      <c r="B102" s="53">
        <f>IFERROR(((H71/(1+$A102)^0.5+I71/(1+$A102)^1.5+J71/(1+$A102)^2.5+K71/(1+$A102)^3.5+L71/(1+$A102)^4.5+M71/(1+$A102)^5.5+N71/(1+$A102)^6.5+O71/(1+$A102)^7.5+P71/(1+$A102)^8.5+Q71/(1+$A102)^9.5+(Q71*(1+B$98)/($A102-B$98))/(1+$A102)^9.5)-B83-B84)*100/B86,NA())</f>
        <v/>
      </c>
      <c r="C102" s="53">
        <f>IFERROR(((H71/(1+$A102)^0.5+I71/(1+$A102)^1.5+J71/(1+$A102)^2.5+K71/(1+$A102)^3.5+L71/(1+$A102)^4.5+M71/(1+$A102)^5.5+N71/(1+$A102)^6.5+O71/(1+$A102)^7.5+P71/(1+$A102)^8.5+Q71/(1+$A102)^9.5+(Q71*(1+C$98)/($A102-C$98))/(1+$A102)^9.5)-B83-B84)*100/B86,NA())</f>
        <v/>
      </c>
      <c r="D102" s="53">
        <f>IFERROR(((H71/(1+$A102)^0.5+I71/(1+$A102)^1.5+J71/(1+$A102)^2.5+K71/(1+$A102)^3.5+L71/(1+$A102)^4.5+M71/(1+$A102)^5.5+N71/(1+$A102)^6.5+O71/(1+$A102)^7.5+P71/(1+$A102)^8.5+Q71/(1+$A102)^9.5+(Q71*(1+D$98)/($A102-D$98))/(1+$A102)^9.5)-B83-B84)*100/B86,NA())</f>
        <v/>
      </c>
      <c r="E102" s="53">
        <f>IFERROR(((H71/(1+$A102)^0.5+I71/(1+$A102)^1.5+J71/(1+$A102)^2.5+K71/(1+$A102)^3.5+L71/(1+$A102)^4.5+M71/(1+$A102)^5.5+N71/(1+$A102)^6.5+O71/(1+$A102)^7.5+P71/(1+$A102)^8.5+Q71/(1+$A102)^9.5+(Q71*(1+E$98)/($A102-E$98))/(1+$A102)^9.5)-B83-B84)*100/B86,NA())</f>
        <v/>
      </c>
      <c r="F102" s="53">
        <f>IFERROR(((H71/(1+$A102)^0.5+I71/(1+$A102)^1.5+J71/(1+$A102)^2.5+K71/(1+$A102)^3.5+L71/(1+$A102)^4.5+M71/(1+$A102)^5.5+N71/(1+$A102)^6.5+O71/(1+$A102)^7.5+P71/(1+$A102)^8.5+Q71/(1+$A102)^9.5+(Q71*(1+F$98)/($A102-F$98))/(1+$A102)^9.5)-B83-B84)*100/B86,NA())</f>
        <v/>
      </c>
      <c r="G102" s="12" t="n"/>
    </row>
    <row r="103">
      <c r="A103" s="54">
        <f>$B$53+0.01</f>
        <v/>
      </c>
      <c r="B103" s="55">
        <f>IFERROR(((H71/(1+$A103)^0.5+I71/(1+$A103)^1.5+J71/(1+$A103)^2.5+K71/(1+$A103)^3.5+L71/(1+$A103)^4.5+M71/(1+$A103)^5.5+N71/(1+$A103)^6.5+O71/(1+$A103)^7.5+P71/(1+$A103)^8.5+Q71/(1+$A103)^9.5+(Q71*(1+B$98)/($A103-B$98))/(1+$A103)^9.5)-B83-B84)*100/B86,NA())</f>
        <v/>
      </c>
      <c r="C103" s="55">
        <f>IFERROR(((H71/(1+$A103)^0.5+I71/(1+$A103)^1.5+J71/(1+$A103)^2.5+K71/(1+$A103)^3.5+L71/(1+$A103)^4.5+M71/(1+$A103)^5.5+N71/(1+$A103)^6.5+O71/(1+$A103)^7.5+P71/(1+$A103)^8.5+Q71/(1+$A103)^9.5+(Q71*(1+C$98)/($A103-C$98))/(1+$A103)^9.5)-B83-B84)*100/B86,NA())</f>
        <v/>
      </c>
      <c r="D103" s="55">
        <f>IFERROR(((H71/(1+$A103)^0.5+I71/(1+$A103)^1.5+J71/(1+$A103)^2.5+K71/(1+$A103)^3.5+L71/(1+$A103)^4.5+M71/(1+$A103)^5.5+N71/(1+$A103)^6.5+O71/(1+$A103)^7.5+P71/(1+$A103)^8.5+Q71/(1+$A103)^9.5+(Q71*(1+D$98)/($A103-D$98))/(1+$A103)^9.5)-B83-B84)*100/B86,NA())</f>
        <v/>
      </c>
      <c r="E103" s="55">
        <f>IFERROR(((H71/(1+$A103)^0.5+I71/(1+$A103)^1.5+J71/(1+$A103)^2.5+K71/(1+$A103)^3.5+L71/(1+$A103)^4.5+M71/(1+$A103)^5.5+N71/(1+$A103)^6.5+O71/(1+$A103)^7.5+P71/(1+$A103)^8.5+Q71/(1+$A103)^9.5+(Q71*(1+E$98)/($A103-E$98))/(1+$A103)^9.5)-B83-B84)*100/B86,NA())</f>
        <v/>
      </c>
      <c r="F103" s="55">
        <f>IFERROR(((H71/(1+$A103)^0.5+I71/(1+$A103)^1.5+J71/(1+$A103)^2.5+K71/(1+$A103)^3.5+L71/(1+$A103)^4.5+M71/(1+$A103)^5.5+N71/(1+$A103)^6.5+O71/(1+$A103)^7.5+P71/(1+$A103)^8.5+Q71/(1+$A103)^9.5+(Q71*(1+F$98)/($A103-F$98))/(1+$A103)^9.5)-B83-B84)*100/B86,NA())</f>
        <v/>
      </c>
      <c r="G103" s="18" t="n"/>
    </row>
    <row r="109">
      <c r="A109" s="6" t="inlineStr">
        <is>
          <t>SENSITIVITY 2 — Flat Revenue Growth × Flat EBIT Margin (Implied Price ¥/sh)</t>
        </is>
      </c>
      <c r="B109" s="7" t="n"/>
      <c r="C109" s="7" t="n"/>
      <c r="D109" s="7" t="n"/>
      <c r="E109" s="7" t="n"/>
      <c r="F109" s="7" t="n"/>
      <c r="G109" s="8" t="n"/>
    </row>
    <row r="110">
      <c r="A110" s="19" t="inlineStr">
        <is>
          <t>Rev g \ EBIT m →</t>
        </is>
      </c>
      <c r="B110" s="56" t="n">
        <v>0.639</v>
      </c>
      <c r="C110" s="56" t="n">
        <v>0.649</v>
      </c>
      <c r="D110" s="56" t="n">
        <v>0.659</v>
      </c>
      <c r="E110" s="56" t="n">
        <v>0.669</v>
      </c>
      <c r="F110" s="56" t="n">
        <v>0.679</v>
      </c>
      <c r="G110" s="12" t="n"/>
    </row>
    <row r="111">
      <c r="A111" s="57" t="n">
        <v>0.0227</v>
      </c>
      <c r="B111" s="53">
        <f>IFERROR(((((($G$57*(1+$A111)^1)*B$110*(1-0.25)+($G$57*(1+$A111)^1)*$B$49-($G$57*(1+$A111)^1)*$B$50-(($G$57*(1+$A111)^1)-($G$57*(1+$A111)^0))*$B$51))/(1+$B$53)^0.5+((($G$57*(1+$A111)^2)*B$110*(1-0.25)+($G$57*(1+$A111)^2)*$B$49-($G$57*(1+$A111)^2)*$B$50-(($G$57*(1+$A111)^2)-($G$57*(1+$A111)^1))*$B$51))/(1+$B$53)^1.5+((($G$57*(1+$A111)^3)*B$110*(1-0.25)+($G$57*(1+$A111)^3)*$B$49-($G$57*(1+$A111)^3)*$B$50-(($G$57*(1+$A111)^3)-($G$57*(1+$A111)^2))*$B$51))/(1+$B$53)^2.5+((($G$57*(1+$A111)^4)*B$110*(1-0.25)+($G$57*(1+$A111)^4)*$B$49-($G$57*(1+$A111)^4)*$B$50-(($G$57*(1+$A111)^4)-($G$57*(1+$A111)^3))*$B$51))/(1+$B$53)^3.5+((($G$57*(1+$A111)^5)*B$110*(1-0.25)+($G$57*(1+$A111)^5)*$B$49-($G$57*(1+$A111)^5)*$B$50-(($G$57*(1+$A111)^5)-($G$57*(1+$A111)^4))*$B$51))/(1+$B$53)^4.5+((($G$57*(1+$A111)^6)*B$110*(1-0.25)+($G$57*(1+$A111)^6)*$B$49-($G$57*(1+$A111)^6)*$B$50-(($G$57*(1+$A111)^6)-($G$57*(1+$A111)^5))*$B$51))/(1+$B$53)^5.5+((($G$57*(1+$A111)^7)*B$110*(1-0.25)+($G$57*(1+$A111)^7)*$B$49-($G$57*(1+$A111)^7)*$B$50-(($G$57*(1+$A111)^7)-($G$57*(1+$A111)^6))*$B$51))/(1+$B$53)^6.5+((($G$57*(1+$A111)^8)*B$110*(1-0.25)+($G$57*(1+$A111)^8)*$B$49-($G$57*(1+$A111)^8)*$B$50-(($G$57*(1+$A111)^8)-($G$57*(1+$A111)^7))*$B$51))/(1+$B$53)^7.5+((($G$57*(1+$A111)^9)*B$110*(1-0.25)+($G$57*(1+$A111)^9)*$B$49-($G$57*(1+$A111)^9)*$B$50-(($G$57*(1+$A111)^9)-($G$57*(1+$A111)^8))*$B$51))/(1+$B$53)^8.5+((($G$57*(1+$A111)^10)*B$110*(1-0.25)+($G$57*(1+$A111)^10)*$B$49-($G$57*(1+$A111)^10)*$B$50-(($G$57*(1+$A111)^10)-($G$57*(1+$A111)^9))*$B$51))/(1+$B$53)^9.5+(((($G$57*(1+$A111)^10)*B$110*(1-0.25)+($G$57*(1+$A111)^10)*$B$49-($G$57*(1+$A111)^10)*$B$50-(($G$57*(1+$A111)^10)-($G$57*(1+$A111)^9))*$B$51))*(1+$B$52))/($B$53-$B$52)/(1+$B$53)^9.5)-B83-B84)*100/B86,NA())</f>
        <v/>
      </c>
      <c r="C111" s="53">
        <f>IFERROR(((((($G$57*(1+$A111)^1)*C$110*(1-0.25)+($G$57*(1+$A111)^1)*$B$49-($G$57*(1+$A111)^1)*$B$50-(($G$57*(1+$A111)^1)-($G$57*(1+$A111)^0))*$B$51))/(1+$B$53)^0.5+((($G$57*(1+$A111)^2)*C$110*(1-0.25)+($G$57*(1+$A111)^2)*$B$49-($G$57*(1+$A111)^2)*$B$50-(($G$57*(1+$A111)^2)-($G$57*(1+$A111)^1))*$B$51))/(1+$B$53)^1.5+((($G$57*(1+$A111)^3)*C$110*(1-0.25)+($G$57*(1+$A111)^3)*$B$49-($G$57*(1+$A111)^3)*$B$50-(($G$57*(1+$A111)^3)-($G$57*(1+$A111)^2))*$B$51))/(1+$B$53)^2.5+((($G$57*(1+$A111)^4)*C$110*(1-0.25)+($G$57*(1+$A111)^4)*$B$49-($G$57*(1+$A111)^4)*$B$50-(($G$57*(1+$A111)^4)-($G$57*(1+$A111)^3))*$B$51))/(1+$B$53)^3.5+((($G$57*(1+$A111)^5)*C$110*(1-0.25)+($G$57*(1+$A111)^5)*$B$49-($G$57*(1+$A111)^5)*$B$50-(($G$57*(1+$A111)^5)-($G$57*(1+$A111)^4))*$B$51))/(1+$B$53)^4.5+((($G$57*(1+$A111)^6)*C$110*(1-0.25)+($G$57*(1+$A111)^6)*$B$49-($G$57*(1+$A111)^6)*$B$50-(($G$57*(1+$A111)^6)-($G$57*(1+$A111)^5))*$B$51))/(1+$B$53)^5.5+((($G$57*(1+$A111)^7)*C$110*(1-0.25)+($G$57*(1+$A111)^7)*$B$49-($G$57*(1+$A111)^7)*$B$50-(($G$57*(1+$A111)^7)-($G$57*(1+$A111)^6))*$B$51))/(1+$B$53)^6.5+((($G$57*(1+$A111)^8)*C$110*(1-0.25)+($G$57*(1+$A111)^8)*$B$49-($G$57*(1+$A111)^8)*$B$50-(($G$57*(1+$A111)^8)-($G$57*(1+$A111)^7))*$B$51))/(1+$B$53)^7.5+((($G$57*(1+$A111)^9)*C$110*(1-0.25)+($G$57*(1+$A111)^9)*$B$49-($G$57*(1+$A111)^9)*$B$50-(($G$57*(1+$A111)^9)-($G$57*(1+$A111)^8))*$B$51))/(1+$B$53)^8.5+((($G$57*(1+$A111)^10)*C$110*(1-0.25)+($G$57*(1+$A111)^10)*$B$49-($G$57*(1+$A111)^10)*$B$50-(($G$57*(1+$A111)^10)-($G$57*(1+$A111)^9))*$B$51))/(1+$B$53)^9.5+(((($G$57*(1+$A111)^10)*C$110*(1-0.25)+($G$57*(1+$A111)^10)*$B$49-($G$57*(1+$A111)^10)*$B$50-(($G$57*(1+$A111)^10)-($G$57*(1+$A111)^9))*$B$51))*(1+$B$52))/($B$53-$B$52)/(1+$B$53)^9.5)-B83-B84)*100/B86,NA())</f>
        <v/>
      </c>
      <c r="D111" s="53">
        <f>IFERROR(((((($G$57*(1+$A111)^1)*D$110*(1-0.25)+($G$57*(1+$A111)^1)*$B$49-($G$57*(1+$A111)^1)*$B$50-(($G$57*(1+$A111)^1)-($G$57*(1+$A111)^0))*$B$51))/(1+$B$53)^0.5+((($G$57*(1+$A111)^2)*D$110*(1-0.25)+($G$57*(1+$A111)^2)*$B$49-($G$57*(1+$A111)^2)*$B$50-(($G$57*(1+$A111)^2)-($G$57*(1+$A111)^1))*$B$51))/(1+$B$53)^1.5+((($G$57*(1+$A111)^3)*D$110*(1-0.25)+($G$57*(1+$A111)^3)*$B$49-($G$57*(1+$A111)^3)*$B$50-(($G$57*(1+$A111)^3)-($G$57*(1+$A111)^2))*$B$51))/(1+$B$53)^2.5+((($G$57*(1+$A111)^4)*D$110*(1-0.25)+($G$57*(1+$A111)^4)*$B$49-($G$57*(1+$A111)^4)*$B$50-(($G$57*(1+$A111)^4)-($G$57*(1+$A111)^3))*$B$51))/(1+$B$53)^3.5+((($G$57*(1+$A111)^5)*D$110*(1-0.25)+($G$57*(1+$A111)^5)*$B$49-($G$57*(1+$A111)^5)*$B$50-(($G$57*(1+$A111)^5)-($G$57*(1+$A111)^4))*$B$51))/(1+$B$53)^4.5+((($G$57*(1+$A111)^6)*D$110*(1-0.25)+($G$57*(1+$A111)^6)*$B$49-($G$57*(1+$A111)^6)*$B$50-(($G$57*(1+$A111)^6)-($G$57*(1+$A111)^5))*$B$51))/(1+$B$53)^5.5+((($G$57*(1+$A111)^7)*D$110*(1-0.25)+($G$57*(1+$A111)^7)*$B$49-($G$57*(1+$A111)^7)*$B$50-(($G$57*(1+$A111)^7)-($G$57*(1+$A111)^6))*$B$51))/(1+$B$53)^6.5+((($G$57*(1+$A111)^8)*D$110*(1-0.25)+($G$57*(1+$A111)^8)*$B$49-($G$57*(1+$A111)^8)*$B$50-(($G$57*(1+$A111)^8)-($G$57*(1+$A111)^7))*$B$51))/(1+$B$53)^7.5+((($G$57*(1+$A111)^9)*D$110*(1-0.25)+($G$57*(1+$A111)^9)*$B$49-($G$57*(1+$A111)^9)*$B$50-(($G$57*(1+$A111)^9)-($G$57*(1+$A111)^8))*$B$51))/(1+$B$53)^8.5+((($G$57*(1+$A111)^10)*D$110*(1-0.25)+($G$57*(1+$A111)^10)*$B$49-($G$57*(1+$A111)^10)*$B$50-(($G$57*(1+$A111)^10)-($G$57*(1+$A111)^9))*$B$51))/(1+$B$53)^9.5+(((($G$57*(1+$A111)^10)*D$110*(1-0.25)+($G$57*(1+$A111)^10)*$B$49-($G$57*(1+$A111)^10)*$B$50-(($G$57*(1+$A111)^10)-($G$57*(1+$A111)^9))*$B$51))*(1+$B$52))/($B$53-$B$52)/(1+$B$53)^9.5)-B83-B84)*100/B86,NA())</f>
        <v/>
      </c>
      <c r="E111" s="53">
        <f>IFERROR(((((($G$57*(1+$A111)^1)*E$110*(1-0.25)+($G$57*(1+$A111)^1)*$B$49-($G$57*(1+$A111)^1)*$B$50-(($G$57*(1+$A111)^1)-($G$57*(1+$A111)^0))*$B$51))/(1+$B$53)^0.5+((($G$57*(1+$A111)^2)*E$110*(1-0.25)+($G$57*(1+$A111)^2)*$B$49-($G$57*(1+$A111)^2)*$B$50-(($G$57*(1+$A111)^2)-($G$57*(1+$A111)^1))*$B$51))/(1+$B$53)^1.5+((($G$57*(1+$A111)^3)*E$110*(1-0.25)+($G$57*(1+$A111)^3)*$B$49-($G$57*(1+$A111)^3)*$B$50-(($G$57*(1+$A111)^3)-($G$57*(1+$A111)^2))*$B$51))/(1+$B$53)^2.5+((($G$57*(1+$A111)^4)*E$110*(1-0.25)+($G$57*(1+$A111)^4)*$B$49-($G$57*(1+$A111)^4)*$B$50-(($G$57*(1+$A111)^4)-($G$57*(1+$A111)^3))*$B$51))/(1+$B$53)^3.5+((($G$57*(1+$A111)^5)*E$110*(1-0.25)+($G$57*(1+$A111)^5)*$B$49-($G$57*(1+$A111)^5)*$B$50-(($G$57*(1+$A111)^5)-($G$57*(1+$A111)^4))*$B$51))/(1+$B$53)^4.5+((($G$57*(1+$A111)^6)*E$110*(1-0.25)+($G$57*(1+$A111)^6)*$B$49-($G$57*(1+$A111)^6)*$B$50-(($G$57*(1+$A111)^6)-($G$57*(1+$A111)^5))*$B$51))/(1+$B$53)^5.5+((($G$57*(1+$A111)^7)*E$110*(1-0.25)+($G$57*(1+$A111)^7)*$B$49-($G$57*(1+$A111)^7)*$B$50-(($G$57*(1+$A111)^7)-($G$57*(1+$A111)^6))*$B$51))/(1+$B$53)^6.5+((($G$57*(1+$A111)^8)*E$110*(1-0.25)+($G$57*(1+$A111)^8)*$B$49-($G$57*(1+$A111)^8)*$B$50-(($G$57*(1+$A111)^8)-($G$57*(1+$A111)^7))*$B$51))/(1+$B$53)^7.5+((($G$57*(1+$A111)^9)*E$110*(1-0.25)+($G$57*(1+$A111)^9)*$B$49-($G$57*(1+$A111)^9)*$B$50-(($G$57*(1+$A111)^9)-($G$57*(1+$A111)^8))*$B$51))/(1+$B$53)^8.5+((($G$57*(1+$A111)^10)*E$110*(1-0.25)+($G$57*(1+$A111)^10)*$B$49-($G$57*(1+$A111)^10)*$B$50-(($G$57*(1+$A111)^10)-($G$57*(1+$A111)^9))*$B$51))/(1+$B$53)^9.5+(((($G$57*(1+$A111)^10)*E$110*(1-0.25)+($G$57*(1+$A111)^10)*$B$49-($G$57*(1+$A111)^10)*$B$50-(($G$57*(1+$A111)^10)-($G$57*(1+$A111)^9))*$B$51))*(1+$B$52))/($B$53-$B$52)/(1+$B$53)^9.5)-B83-B84)*100/B86,NA())</f>
        <v/>
      </c>
      <c r="F111" s="53">
        <f>IFERROR(((((($G$57*(1+$A111)^1)*F$110*(1-0.25)+($G$57*(1+$A111)^1)*$B$49-($G$57*(1+$A111)^1)*$B$50-(($G$57*(1+$A111)^1)-($G$57*(1+$A111)^0))*$B$51))/(1+$B$53)^0.5+((($G$57*(1+$A111)^2)*F$110*(1-0.25)+($G$57*(1+$A111)^2)*$B$49-($G$57*(1+$A111)^2)*$B$50-(($G$57*(1+$A111)^2)-($G$57*(1+$A111)^1))*$B$51))/(1+$B$53)^1.5+((($G$57*(1+$A111)^3)*F$110*(1-0.25)+($G$57*(1+$A111)^3)*$B$49-($G$57*(1+$A111)^3)*$B$50-(($G$57*(1+$A111)^3)-($G$57*(1+$A111)^2))*$B$51))/(1+$B$53)^2.5+((($G$57*(1+$A111)^4)*F$110*(1-0.25)+($G$57*(1+$A111)^4)*$B$49-($G$57*(1+$A111)^4)*$B$50-(($G$57*(1+$A111)^4)-($G$57*(1+$A111)^3))*$B$51))/(1+$B$53)^3.5+((($G$57*(1+$A111)^5)*F$110*(1-0.25)+($G$57*(1+$A111)^5)*$B$49-($G$57*(1+$A111)^5)*$B$50-(($G$57*(1+$A111)^5)-($G$57*(1+$A111)^4))*$B$51))/(1+$B$53)^4.5+((($G$57*(1+$A111)^6)*F$110*(1-0.25)+($G$57*(1+$A111)^6)*$B$49-($G$57*(1+$A111)^6)*$B$50-(($G$57*(1+$A111)^6)-($G$57*(1+$A111)^5))*$B$51))/(1+$B$53)^5.5+((($G$57*(1+$A111)^7)*F$110*(1-0.25)+($G$57*(1+$A111)^7)*$B$49-($G$57*(1+$A111)^7)*$B$50-(($G$57*(1+$A111)^7)-($G$57*(1+$A111)^6))*$B$51))/(1+$B$53)^6.5+((($G$57*(1+$A111)^8)*F$110*(1-0.25)+($G$57*(1+$A111)^8)*$B$49-($G$57*(1+$A111)^8)*$B$50-(($G$57*(1+$A111)^8)-($G$57*(1+$A111)^7))*$B$51))/(1+$B$53)^7.5+((($G$57*(1+$A111)^9)*F$110*(1-0.25)+($G$57*(1+$A111)^9)*$B$49-($G$57*(1+$A111)^9)*$B$50-(($G$57*(1+$A111)^9)-($G$57*(1+$A111)^8))*$B$51))/(1+$B$53)^8.5+((($G$57*(1+$A111)^10)*F$110*(1-0.25)+($G$57*(1+$A111)^10)*$B$49-($G$57*(1+$A111)^10)*$B$50-(($G$57*(1+$A111)^10)-($G$57*(1+$A111)^9))*$B$51))/(1+$B$53)^9.5+(((($G$57*(1+$A111)^10)*F$110*(1-0.25)+($G$57*(1+$A111)^10)*$B$49-($G$57*(1+$A111)^10)*$B$50-(($G$57*(1+$A111)^10)-($G$57*(1+$A111)^9))*$B$51))*(1+$B$52))/($B$53-$B$52)/(1+$B$53)^9.5)-B83-B84)*100/B86,NA())</f>
        <v/>
      </c>
      <c r="G111" s="12" t="n"/>
    </row>
    <row r="112">
      <c r="A112" s="57" t="n">
        <v>0.0327</v>
      </c>
      <c r="B112" s="53">
        <f>IFERROR(((((($G$57*(1+$A112)^1)*B$110*(1-0.25)+($G$57*(1+$A112)^1)*$B$49-($G$57*(1+$A112)^1)*$B$50-(($G$57*(1+$A112)^1)-($G$57*(1+$A112)^0))*$B$51))/(1+$B$53)^0.5+((($G$57*(1+$A112)^2)*B$110*(1-0.25)+($G$57*(1+$A112)^2)*$B$49-($G$57*(1+$A112)^2)*$B$50-(($G$57*(1+$A112)^2)-($G$57*(1+$A112)^1))*$B$51))/(1+$B$53)^1.5+((($G$57*(1+$A112)^3)*B$110*(1-0.25)+($G$57*(1+$A112)^3)*$B$49-($G$57*(1+$A112)^3)*$B$50-(($G$57*(1+$A112)^3)-($G$57*(1+$A112)^2))*$B$51))/(1+$B$53)^2.5+((($G$57*(1+$A112)^4)*B$110*(1-0.25)+($G$57*(1+$A112)^4)*$B$49-($G$57*(1+$A112)^4)*$B$50-(($G$57*(1+$A112)^4)-($G$57*(1+$A112)^3))*$B$51))/(1+$B$53)^3.5+((($G$57*(1+$A112)^5)*B$110*(1-0.25)+($G$57*(1+$A112)^5)*$B$49-($G$57*(1+$A112)^5)*$B$50-(($G$57*(1+$A112)^5)-($G$57*(1+$A112)^4))*$B$51))/(1+$B$53)^4.5+((($G$57*(1+$A112)^6)*B$110*(1-0.25)+($G$57*(1+$A112)^6)*$B$49-($G$57*(1+$A112)^6)*$B$50-(($G$57*(1+$A112)^6)-($G$57*(1+$A112)^5))*$B$51))/(1+$B$53)^5.5+((($G$57*(1+$A112)^7)*B$110*(1-0.25)+($G$57*(1+$A112)^7)*$B$49-($G$57*(1+$A112)^7)*$B$50-(($G$57*(1+$A112)^7)-($G$57*(1+$A112)^6))*$B$51))/(1+$B$53)^6.5+((($G$57*(1+$A112)^8)*B$110*(1-0.25)+($G$57*(1+$A112)^8)*$B$49-($G$57*(1+$A112)^8)*$B$50-(($G$57*(1+$A112)^8)-($G$57*(1+$A112)^7))*$B$51))/(1+$B$53)^7.5+((($G$57*(1+$A112)^9)*B$110*(1-0.25)+($G$57*(1+$A112)^9)*$B$49-($G$57*(1+$A112)^9)*$B$50-(($G$57*(1+$A112)^9)-($G$57*(1+$A112)^8))*$B$51))/(1+$B$53)^8.5+((($G$57*(1+$A112)^10)*B$110*(1-0.25)+($G$57*(1+$A112)^10)*$B$49-($G$57*(1+$A112)^10)*$B$50-(($G$57*(1+$A112)^10)-($G$57*(1+$A112)^9))*$B$51))/(1+$B$53)^9.5+(((($G$57*(1+$A112)^10)*B$110*(1-0.25)+($G$57*(1+$A112)^10)*$B$49-($G$57*(1+$A112)^10)*$B$50-(($G$57*(1+$A112)^10)-($G$57*(1+$A112)^9))*$B$51))*(1+$B$52))/($B$53-$B$52)/(1+$B$53)^9.5)-B83-B84)*100/B86,NA())</f>
        <v/>
      </c>
      <c r="C112" s="53">
        <f>IFERROR(((((($G$57*(1+$A112)^1)*C$110*(1-0.25)+($G$57*(1+$A112)^1)*$B$49-($G$57*(1+$A112)^1)*$B$50-(($G$57*(1+$A112)^1)-($G$57*(1+$A112)^0))*$B$51))/(1+$B$53)^0.5+((($G$57*(1+$A112)^2)*C$110*(1-0.25)+($G$57*(1+$A112)^2)*$B$49-($G$57*(1+$A112)^2)*$B$50-(($G$57*(1+$A112)^2)-($G$57*(1+$A112)^1))*$B$51))/(1+$B$53)^1.5+((($G$57*(1+$A112)^3)*C$110*(1-0.25)+($G$57*(1+$A112)^3)*$B$49-($G$57*(1+$A112)^3)*$B$50-(($G$57*(1+$A112)^3)-($G$57*(1+$A112)^2))*$B$51))/(1+$B$53)^2.5+((($G$57*(1+$A112)^4)*C$110*(1-0.25)+($G$57*(1+$A112)^4)*$B$49-($G$57*(1+$A112)^4)*$B$50-(($G$57*(1+$A112)^4)-($G$57*(1+$A112)^3))*$B$51))/(1+$B$53)^3.5+((($G$57*(1+$A112)^5)*C$110*(1-0.25)+($G$57*(1+$A112)^5)*$B$49-($G$57*(1+$A112)^5)*$B$50-(($G$57*(1+$A112)^5)-($G$57*(1+$A112)^4))*$B$51))/(1+$B$53)^4.5+((($G$57*(1+$A112)^6)*C$110*(1-0.25)+($G$57*(1+$A112)^6)*$B$49-($G$57*(1+$A112)^6)*$B$50-(($G$57*(1+$A112)^6)-($G$57*(1+$A112)^5))*$B$51))/(1+$B$53)^5.5+((($G$57*(1+$A112)^7)*C$110*(1-0.25)+($G$57*(1+$A112)^7)*$B$49-($G$57*(1+$A112)^7)*$B$50-(($G$57*(1+$A112)^7)-($G$57*(1+$A112)^6))*$B$51))/(1+$B$53)^6.5+((($G$57*(1+$A112)^8)*C$110*(1-0.25)+($G$57*(1+$A112)^8)*$B$49-($G$57*(1+$A112)^8)*$B$50-(($G$57*(1+$A112)^8)-($G$57*(1+$A112)^7))*$B$51))/(1+$B$53)^7.5+((($G$57*(1+$A112)^9)*C$110*(1-0.25)+($G$57*(1+$A112)^9)*$B$49-($G$57*(1+$A112)^9)*$B$50-(($G$57*(1+$A112)^9)-($G$57*(1+$A112)^8))*$B$51))/(1+$B$53)^8.5+((($G$57*(1+$A112)^10)*C$110*(1-0.25)+($G$57*(1+$A112)^10)*$B$49-($G$57*(1+$A112)^10)*$B$50-(($G$57*(1+$A112)^10)-($G$57*(1+$A112)^9))*$B$51))/(1+$B$53)^9.5+(((($G$57*(1+$A112)^10)*C$110*(1-0.25)+($G$57*(1+$A112)^10)*$B$49-($G$57*(1+$A112)^10)*$B$50-(($G$57*(1+$A112)^10)-($G$57*(1+$A112)^9))*$B$51))*(1+$B$52))/($B$53-$B$52)/(1+$B$53)^9.5)-B83-B84)*100/B86,NA())</f>
        <v/>
      </c>
      <c r="D112" s="53">
        <f>IFERROR(((((($G$57*(1+$A112)^1)*D$110*(1-0.25)+($G$57*(1+$A112)^1)*$B$49-($G$57*(1+$A112)^1)*$B$50-(($G$57*(1+$A112)^1)-($G$57*(1+$A112)^0))*$B$51))/(1+$B$53)^0.5+((($G$57*(1+$A112)^2)*D$110*(1-0.25)+($G$57*(1+$A112)^2)*$B$49-($G$57*(1+$A112)^2)*$B$50-(($G$57*(1+$A112)^2)-($G$57*(1+$A112)^1))*$B$51))/(1+$B$53)^1.5+((($G$57*(1+$A112)^3)*D$110*(1-0.25)+($G$57*(1+$A112)^3)*$B$49-($G$57*(1+$A112)^3)*$B$50-(($G$57*(1+$A112)^3)-($G$57*(1+$A112)^2))*$B$51))/(1+$B$53)^2.5+((($G$57*(1+$A112)^4)*D$110*(1-0.25)+($G$57*(1+$A112)^4)*$B$49-($G$57*(1+$A112)^4)*$B$50-(($G$57*(1+$A112)^4)-($G$57*(1+$A112)^3))*$B$51))/(1+$B$53)^3.5+((($G$57*(1+$A112)^5)*D$110*(1-0.25)+($G$57*(1+$A112)^5)*$B$49-($G$57*(1+$A112)^5)*$B$50-(($G$57*(1+$A112)^5)-($G$57*(1+$A112)^4))*$B$51))/(1+$B$53)^4.5+((($G$57*(1+$A112)^6)*D$110*(1-0.25)+($G$57*(1+$A112)^6)*$B$49-($G$57*(1+$A112)^6)*$B$50-(($G$57*(1+$A112)^6)-($G$57*(1+$A112)^5))*$B$51))/(1+$B$53)^5.5+((($G$57*(1+$A112)^7)*D$110*(1-0.25)+($G$57*(1+$A112)^7)*$B$49-($G$57*(1+$A112)^7)*$B$50-(($G$57*(1+$A112)^7)-($G$57*(1+$A112)^6))*$B$51))/(1+$B$53)^6.5+((($G$57*(1+$A112)^8)*D$110*(1-0.25)+($G$57*(1+$A112)^8)*$B$49-($G$57*(1+$A112)^8)*$B$50-(($G$57*(1+$A112)^8)-($G$57*(1+$A112)^7))*$B$51))/(1+$B$53)^7.5+((($G$57*(1+$A112)^9)*D$110*(1-0.25)+($G$57*(1+$A112)^9)*$B$49-($G$57*(1+$A112)^9)*$B$50-(($G$57*(1+$A112)^9)-($G$57*(1+$A112)^8))*$B$51))/(1+$B$53)^8.5+((($G$57*(1+$A112)^10)*D$110*(1-0.25)+($G$57*(1+$A112)^10)*$B$49-($G$57*(1+$A112)^10)*$B$50-(($G$57*(1+$A112)^10)-($G$57*(1+$A112)^9))*$B$51))/(1+$B$53)^9.5+(((($G$57*(1+$A112)^10)*D$110*(1-0.25)+($G$57*(1+$A112)^10)*$B$49-($G$57*(1+$A112)^10)*$B$50-(($G$57*(1+$A112)^10)-($G$57*(1+$A112)^9))*$B$51))*(1+$B$52))/($B$53-$B$52)/(1+$B$53)^9.5)-B83-B84)*100/B86,NA())</f>
        <v/>
      </c>
      <c r="E112" s="53">
        <f>IFERROR(((((($G$57*(1+$A112)^1)*E$110*(1-0.25)+($G$57*(1+$A112)^1)*$B$49-($G$57*(1+$A112)^1)*$B$50-(($G$57*(1+$A112)^1)-($G$57*(1+$A112)^0))*$B$51))/(1+$B$53)^0.5+((($G$57*(1+$A112)^2)*E$110*(1-0.25)+($G$57*(1+$A112)^2)*$B$49-($G$57*(1+$A112)^2)*$B$50-(($G$57*(1+$A112)^2)-($G$57*(1+$A112)^1))*$B$51))/(1+$B$53)^1.5+((($G$57*(1+$A112)^3)*E$110*(1-0.25)+($G$57*(1+$A112)^3)*$B$49-($G$57*(1+$A112)^3)*$B$50-(($G$57*(1+$A112)^3)-($G$57*(1+$A112)^2))*$B$51))/(1+$B$53)^2.5+((($G$57*(1+$A112)^4)*E$110*(1-0.25)+($G$57*(1+$A112)^4)*$B$49-($G$57*(1+$A112)^4)*$B$50-(($G$57*(1+$A112)^4)-($G$57*(1+$A112)^3))*$B$51))/(1+$B$53)^3.5+((($G$57*(1+$A112)^5)*E$110*(1-0.25)+($G$57*(1+$A112)^5)*$B$49-($G$57*(1+$A112)^5)*$B$50-(($G$57*(1+$A112)^5)-($G$57*(1+$A112)^4))*$B$51))/(1+$B$53)^4.5+((($G$57*(1+$A112)^6)*E$110*(1-0.25)+($G$57*(1+$A112)^6)*$B$49-($G$57*(1+$A112)^6)*$B$50-(($G$57*(1+$A112)^6)-($G$57*(1+$A112)^5))*$B$51))/(1+$B$53)^5.5+((($G$57*(1+$A112)^7)*E$110*(1-0.25)+($G$57*(1+$A112)^7)*$B$49-($G$57*(1+$A112)^7)*$B$50-(($G$57*(1+$A112)^7)-($G$57*(1+$A112)^6))*$B$51))/(1+$B$53)^6.5+((($G$57*(1+$A112)^8)*E$110*(1-0.25)+($G$57*(1+$A112)^8)*$B$49-($G$57*(1+$A112)^8)*$B$50-(($G$57*(1+$A112)^8)-($G$57*(1+$A112)^7))*$B$51))/(1+$B$53)^7.5+((($G$57*(1+$A112)^9)*E$110*(1-0.25)+($G$57*(1+$A112)^9)*$B$49-($G$57*(1+$A112)^9)*$B$50-(($G$57*(1+$A112)^9)-($G$57*(1+$A112)^8))*$B$51))/(1+$B$53)^8.5+((($G$57*(1+$A112)^10)*E$110*(1-0.25)+($G$57*(1+$A112)^10)*$B$49-($G$57*(1+$A112)^10)*$B$50-(($G$57*(1+$A112)^10)-($G$57*(1+$A112)^9))*$B$51))/(1+$B$53)^9.5+(((($G$57*(1+$A112)^10)*E$110*(1-0.25)+($G$57*(1+$A112)^10)*$B$49-($G$57*(1+$A112)^10)*$B$50-(($G$57*(1+$A112)^10)-($G$57*(1+$A112)^9))*$B$51))*(1+$B$52))/($B$53-$B$52)/(1+$B$53)^9.5)-B83-B84)*100/B86,NA())</f>
        <v/>
      </c>
      <c r="F112" s="53">
        <f>IFERROR(((((($G$57*(1+$A112)^1)*F$110*(1-0.25)+($G$57*(1+$A112)^1)*$B$49-($G$57*(1+$A112)^1)*$B$50-(($G$57*(1+$A112)^1)-($G$57*(1+$A112)^0))*$B$51))/(1+$B$53)^0.5+((($G$57*(1+$A112)^2)*F$110*(1-0.25)+($G$57*(1+$A112)^2)*$B$49-($G$57*(1+$A112)^2)*$B$50-(($G$57*(1+$A112)^2)-($G$57*(1+$A112)^1))*$B$51))/(1+$B$53)^1.5+((($G$57*(1+$A112)^3)*F$110*(1-0.25)+($G$57*(1+$A112)^3)*$B$49-($G$57*(1+$A112)^3)*$B$50-(($G$57*(1+$A112)^3)-($G$57*(1+$A112)^2))*$B$51))/(1+$B$53)^2.5+((($G$57*(1+$A112)^4)*F$110*(1-0.25)+($G$57*(1+$A112)^4)*$B$49-($G$57*(1+$A112)^4)*$B$50-(($G$57*(1+$A112)^4)-($G$57*(1+$A112)^3))*$B$51))/(1+$B$53)^3.5+((($G$57*(1+$A112)^5)*F$110*(1-0.25)+($G$57*(1+$A112)^5)*$B$49-($G$57*(1+$A112)^5)*$B$50-(($G$57*(1+$A112)^5)-($G$57*(1+$A112)^4))*$B$51))/(1+$B$53)^4.5+((($G$57*(1+$A112)^6)*F$110*(1-0.25)+($G$57*(1+$A112)^6)*$B$49-($G$57*(1+$A112)^6)*$B$50-(($G$57*(1+$A112)^6)-($G$57*(1+$A112)^5))*$B$51))/(1+$B$53)^5.5+((($G$57*(1+$A112)^7)*F$110*(1-0.25)+($G$57*(1+$A112)^7)*$B$49-($G$57*(1+$A112)^7)*$B$50-(($G$57*(1+$A112)^7)-($G$57*(1+$A112)^6))*$B$51))/(1+$B$53)^6.5+((($G$57*(1+$A112)^8)*F$110*(1-0.25)+($G$57*(1+$A112)^8)*$B$49-($G$57*(1+$A112)^8)*$B$50-(($G$57*(1+$A112)^8)-($G$57*(1+$A112)^7))*$B$51))/(1+$B$53)^7.5+((($G$57*(1+$A112)^9)*F$110*(1-0.25)+($G$57*(1+$A112)^9)*$B$49-($G$57*(1+$A112)^9)*$B$50-(($G$57*(1+$A112)^9)-($G$57*(1+$A112)^8))*$B$51))/(1+$B$53)^8.5+((($G$57*(1+$A112)^10)*F$110*(1-0.25)+($G$57*(1+$A112)^10)*$B$49-($G$57*(1+$A112)^10)*$B$50-(($G$57*(1+$A112)^10)-($G$57*(1+$A112)^9))*$B$51))/(1+$B$53)^9.5+(((($G$57*(1+$A112)^10)*F$110*(1-0.25)+($G$57*(1+$A112)^10)*$B$49-($G$57*(1+$A112)^10)*$B$50-(($G$57*(1+$A112)^10)-($G$57*(1+$A112)^9))*$B$51))*(1+$B$52))/($B$53-$B$52)/(1+$B$53)^9.5)-B83-B84)*100/B86,NA())</f>
        <v/>
      </c>
      <c r="G112" s="12" t="n"/>
    </row>
    <row r="113">
      <c r="A113" s="57" t="n">
        <v>0.0427</v>
      </c>
      <c r="B113" s="53">
        <f>IFERROR(((((($G$57*(1+$A113)^1)*B$110*(1-0.25)+($G$57*(1+$A113)^1)*$B$49-($G$57*(1+$A113)^1)*$B$50-(($G$57*(1+$A113)^1)-($G$57*(1+$A113)^0))*$B$51))/(1+$B$53)^0.5+((($G$57*(1+$A113)^2)*B$110*(1-0.25)+($G$57*(1+$A113)^2)*$B$49-($G$57*(1+$A113)^2)*$B$50-(($G$57*(1+$A113)^2)-($G$57*(1+$A113)^1))*$B$51))/(1+$B$53)^1.5+((($G$57*(1+$A113)^3)*B$110*(1-0.25)+($G$57*(1+$A113)^3)*$B$49-($G$57*(1+$A113)^3)*$B$50-(($G$57*(1+$A113)^3)-($G$57*(1+$A113)^2))*$B$51))/(1+$B$53)^2.5+((($G$57*(1+$A113)^4)*B$110*(1-0.25)+($G$57*(1+$A113)^4)*$B$49-($G$57*(1+$A113)^4)*$B$50-(($G$57*(1+$A113)^4)-($G$57*(1+$A113)^3))*$B$51))/(1+$B$53)^3.5+((($G$57*(1+$A113)^5)*B$110*(1-0.25)+($G$57*(1+$A113)^5)*$B$49-($G$57*(1+$A113)^5)*$B$50-(($G$57*(1+$A113)^5)-($G$57*(1+$A113)^4))*$B$51))/(1+$B$53)^4.5+((($G$57*(1+$A113)^6)*B$110*(1-0.25)+($G$57*(1+$A113)^6)*$B$49-($G$57*(1+$A113)^6)*$B$50-(($G$57*(1+$A113)^6)-($G$57*(1+$A113)^5))*$B$51))/(1+$B$53)^5.5+((($G$57*(1+$A113)^7)*B$110*(1-0.25)+($G$57*(1+$A113)^7)*$B$49-($G$57*(1+$A113)^7)*$B$50-(($G$57*(1+$A113)^7)-($G$57*(1+$A113)^6))*$B$51))/(1+$B$53)^6.5+((($G$57*(1+$A113)^8)*B$110*(1-0.25)+($G$57*(1+$A113)^8)*$B$49-($G$57*(1+$A113)^8)*$B$50-(($G$57*(1+$A113)^8)-($G$57*(1+$A113)^7))*$B$51))/(1+$B$53)^7.5+((($G$57*(1+$A113)^9)*B$110*(1-0.25)+($G$57*(1+$A113)^9)*$B$49-($G$57*(1+$A113)^9)*$B$50-(($G$57*(1+$A113)^9)-($G$57*(1+$A113)^8))*$B$51))/(1+$B$53)^8.5+((($G$57*(1+$A113)^10)*B$110*(1-0.25)+($G$57*(1+$A113)^10)*$B$49-($G$57*(1+$A113)^10)*$B$50-(($G$57*(1+$A113)^10)-($G$57*(1+$A113)^9))*$B$51))/(1+$B$53)^9.5+(((($G$57*(1+$A113)^10)*B$110*(1-0.25)+($G$57*(1+$A113)^10)*$B$49-($G$57*(1+$A113)^10)*$B$50-(($G$57*(1+$A113)^10)-($G$57*(1+$A113)^9))*$B$51))*(1+$B$52))/($B$53-$B$52)/(1+$B$53)^9.5)-B83-B84)*100/B86,NA())</f>
        <v/>
      </c>
      <c r="C113" s="53">
        <f>IFERROR(((((($G$57*(1+$A113)^1)*C$110*(1-0.25)+($G$57*(1+$A113)^1)*$B$49-($G$57*(1+$A113)^1)*$B$50-(($G$57*(1+$A113)^1)-($G$57*(1+$A113)^0))*$B$51))/(1+$B$53)^0.5+((($G$57*(1+$A113)^2)*C$110*(1-0.25)+($G$57*(1+$A113)^2)*$B$49-($G$57*(1+$A113)^2)*$B$50-(($G$57*(1+$A113)^2)-($G$57*(1+$A113)^1))*$B$51))/(1+$B$53)^1.5+((($G$57*(1+$A113)^3)*C$110*(1-0.25)+($G$57*(1+$A113)^3)*$B$49-($G$57*(1+$A113)^3)*$B$50-(($G$57*(1+$A113)^3)-($G$57*(1+$A113)^2))*$B$51))/(1+$B$53)^2.5+((($G$57*(1+$A113)^4)*C$110*(1-0.25)+($G$57*(1+$A113)^4)*$B$49-($G$57*(1+$A113)^4)*$B$50-(($G$57*(1+$A113)^4)-($G$57*(1+$A113)^3))*$B$51))/(1+$B$53)^3.5+((($G$57*(1+$A113)^5)*C$110*(1-0.25)+($G$57*(1+$A113)^5)*$B$49-($G$57*(1+$A113)^5)*$B$50-(($G$57*(1+$A113)^5)-($G$57*(1+$A113)^4))*$B$51))/(1+$B$53)^4.5+((($G$57*(1+$A113)^6)*C$110*(1-0.25)+($G$57*(1+$A113)^6)*$B$49-($G$57*(1+$A113)^6)*$B$50-(($G$57*(1+$A113)^6)-($G$57*(1+$A113)^5))*$B$51))/(1+$B$53)^5.5+((($G$57*(1+$A113)^7)*C$110*(1-0.25)+($G$57*(1+$A113)^7)*$B$49-($G$57*(1+$A113)^7)*$B$50-(($G$57*(1+$A113)^7)-($G$57*(1+$A113)^6))*$B$51))/(1+$B$53)^6.5+((($G$57*(1+$A113)^8)*C$110*(1-0.25)+($G$57*(1+$A113)^8)*$B$49-($G$57*(1+$A113)^8)*$B$50-(($G$57*(1+$A113)^8)-($G$57*(1+$A113)^7))*$B$51))/(1+$B$53)^7.5+((($G$57*(1+$A113)^9)*C$110*(1-0.25)+($G$57*(1+$A113)^9)*$B$49-($G$57*(1+$A113)^9)*$B$50-(($G$57*(1+$A113)^9)-($G$57*(1+$A113)^8))*$B$51))/(1+$B$53)^8.5+((($G$57*(1+$A113)^10)*C$110*(1-0.25)+($G$57*(1+$A113)^10)*$B$49-($G$57*(1+$A113)^10)*$B$50-(($G$57*(1+$A113)^10)-($G$57*(1+$A113)^9))*$B$51))/(1+$B$53)^9.5+(((($G$57*(1+$A113)^10)*C$110*(1-0.25)+($G$57*(1+$A113)^10)*$B$49-($G$57*(1+$A113)^10)*$B$50-(($G$57*(1+$A113)^10)-($G$57*(1+$A113)^9))*$B$51))*(1+$B$52))/($B$53-$B$52)/(1+$B$53)^9.5)-B83-B84)*100/B86,NA())</f>
        <v/>
      </c>
      <c r="D113" s="48">
        <f>IFERROR(((((($G$57*(1+$A113)^1)*D$110*(1-0.25)+($G$57*(1+$A113)^1)*$B$49-($G$57*(1+$A113)^1)*$B$50-(($G$57*(1+$A113)^1)-($G$57*(1+$A113)^0))*$B$51))/(1+$B$53)^0.5+((($G$57*(1+$A113)^2)*D$110*(1-0.25)+($G$57*(1+$A113)^2)*$B$49-($G$57*(1+$A113)^2)*$B$50-(($G$57*(1+$A113)^2)-($G$57*(1+$A113)^1))*$B$51))/(1+$B$53)^1.5+((($G$57*(1+$A113)^3)*D$110*(1-0.25)+($G$57*(1+$A113)^3)*$B$49-($G$57*(1+$A113)^3)*$B$50-(($G$57*(1+$A113)^3)-($G$57*(1+$A113)^2))*$B$51))/(1+$B$53)^2.5+((($G$57*(1+$A113)^4)*D$110*(1-0.25)+($G$57*(1+$A113)^4)*$B$49-($G$57*(1+$A113)^4)*$B$50-(($G$57*(1+$A113)^4)-($G$57*(1+$A113)^3))*$B$51))/(1+$B$53)^3.5+((($G$57*(1+$A113)^5)*D$110*(1-0.25)+($G$57*(1+$A113)^5)*$B$49-($G$57*(1+$A113)^5)*$B$50-(($G$57*(1+$A113)^5)-($G$57*(1+$A113)^4))*$B$51))/(1+$B$53)^4.5+((($G$57*(1+$A113)^6)*D$110*(1-0.25)+($G$57*(1+$A113)^6)*$B$49-($G$57*(1+$A113)^6)*$B$50-(($G$57*(1+$A113)^6)-($G$57*(1+$A113)^5))*$B$51))/(1+$B$53)^5.5+((($G$57*(1+$A113)^7)*D$110*(1-0.25)+($G$57*(1+$A113)^7)*$B$49-($G$57*(1+$A113)^7)*$B$50-(($G$57*(1+$A113)^7)-($G$57*(1+$A113)^6))*$B$51))/(1+$B$53)^6.5+((($G$57*(1+$A113)^8)*D$110*(1-0.25)+($G$57*(1+$A113)^8)*$B$49-($G$57*(1+$A113)^8)*$B$50-(($G$57*(1+$A113)^8)-($G$57*(1+$A113)^7))*$B$51))/(1+$B$53)^7.5+((($G$57*(1+$A113)^9)*D$110*(1-0.25)+($G$57*(1+$A113)^9)*$B$49-($G$57*(1+$A113)^9)*$B$50-(($G$57*(1+$A113)^9)-($G$57*(1+$A113)^8))*$B$51))/(1+$B$53)^8.5+((($G$57*(1+$A113)^10)*D$110*(1-0.25)+($G$57*(1+$A113)^10)*$B$49-($G$57*(1+$A113)^10)*$B$50-(($G$57*(1+$A113)^10)-($G$57*(1+$A113)^9))*$B$51))/(1+$B$53)^9.5+(((($G$57*(1+$A113)^10)*D$110*(1-0.25)+($G$57*(1+$A113)^10)*$B$49-($G$57*(1+$A113)^10)*$B$50-(($G$57*(1+$A113)^10)-($G$57*(1+$A113)^9))*$B$51))*(1+$B$52))/($B$53-$B$52)/(1+$B$53)^9.5)-B83-B84)*100/B86,NA())</f>
        <v/>
      </c>
      <c r="E113" s="53">
        <f>IFERROR(((((($G$57*(1+$A113)^1)*E$110*(1-0.25)+($G$57*(1+$A113)^1)*$B$49-($G$57*(1+$A113)^1)*$B$50-(($G$57*(1+$A113)^1)-($G$57*(1+$A113)^0))*$B$51))/(1+$B$53)^0.5+((($G$57*(1+$A113)^2)*E$110*(1-0.25)+($G$57*(1+$A113)^2)*$B$49-($G$57*(1+$A113)^2)*$B$50-(($G$57*(1+$A113)^2)-($G$57*(1+$A113)^1))*$B$51))/(1+$B$53)^1.5+((($G$57*(1+$A113)^3)*E$110*(1-0.25)+($G$57*(1+$A113)^3)*$B$49-($G$57*(1+$A113)^3)*$B$50-(($G$57*(1+$A113)^3)-($G$57*(1+$A113)^2))*$B$51))/(1+$B$53)^2.5+((($G$57*(1+$A113)^4)*E$110*(1-0.25)+($G$57*(1+$A113)^4)*$B$49-($G$57*(1+$A113)^4)*$B$50-(($G$57*(1+$A113)^4)-($G$57*(1+$A113)^3))*$B$51))/(1+$B$53)^3.5+((($G$57*(1+$A113)^5)*E$110*(1-0.25)+($G$57*(1+$A113)^5)*$B$49-($G$57*(1+$A113)^5)*$B$50-(($G$57*(1+$A113)^5)-($G$57*(1+$A113)^4))*$B$51))/(1+$B$53)^4.5+((($G$57*(1+$A113)^6)*E$110*(1-0.25)+($G$57*(1+$A113)^6)*$B$49-($G$57*(1+$A113)^6)*$B$50-(($G$57*(1+$A113)^6)-($G$57*(1+$A113)^5))*$B$51))/(1+$B$53)^5.5+((($G$57*(1+$A113)^7)*E$110*(1-0.25)+($G$57*(1+$A113)^7)*$B$49-($G$57*(1+$A113)^7)*$B$50-(($G$57*(1+$A113)^7)-($G$57*(1+$A113)^6))*$B$51))/(1+$B$53)^6.5+((($G$57*(1+$A113)^8)*E$110*(1-0.25)+($G$57*(1+$A113)^8)*$B$49-($G$57*(1+$A113)^8)*$B$50-(($G$57*(1+$A113)^8)-($G$57*(1+$A113)^7))*$B$51))/(1+$B$53)^7.5+((($G$57*(1+$A113)^9)*E$110*(1-0.25)+($G$57*(1+$A113)^9)*$B$49-($G$57*(1+$A113)^9)*$B$50-(($G$57*(1+$A113)^9)-($G$57*(1+$A113)^8))*$B$51))/(1+$B$53)^8.5+((($G$57*(1+$A113)^10)*E$110*(1-0.25)+($G$57*(1+$A113)^10)*$B$49-($G$57*(1+$A113)^10)*$B$50-(($G$57*(1+$A113)^10)-($G$57*(1+$A113)^9))*$B$51))/(1+$B$53)^9.5+(((($G$57*(1+$A113)^10)*E$110*(1-0.25)+($G$57*(1+$A113)^10)*$B$49-($G$57*(1+$A113)^10)*$B$50-(($G$57*(1+$A113)^10)-($G$57*(1+$A113)^9))*$B$51))*(1+$B$52))/($B$53-$B$52)/(1+$B$53)^9.5)-B83-B84)*100/B86,NA())</f>
        <v/>
      </c>
      <c r="F113" s="53">
        <f>IFERROR(((((($G$57*(1+$A113)^1)*F$110*(1-0.25)+($G$57*(1+$A113)^1)*$B$49-($G$57*(1+$A113)^1)*$B$50-(($G$57*(1+$A113)^1)-($G$57*(1+$A113)^0))*$B$51))/(1+$B$53)^0.5+((($G$57*(1+$A113)^2)*F$110*(1-0.25)+($G$57*(1+$A113)^2)*$B$49-($G$57*(1+$A113)^2)*$B$50-(($G$57*(1+$A113)^2)-($G$57*(1+$A113)^1))*$B$51))/(1+$B$53)^1.5+((($G$57*(1+$A113)^3)*F$110*(1-0.25)+($G$57*(1+$A113)^3)*$B$49-($G$57*(1+$A113)^3)*$B$50-(($G$57*(1+$A113)^3)-($G$57*(1+$A113)^2))*$B$51))/(1+$B$53)^2.5+((($G$57*(1+$A113)^4)*F$110*(1-0.25)+($G$57*(1+$A113)^4)*$B$49-($G$57*(1+$A113)^4)*$B$50-(($G$57*(1+$A113)^4)-($G$57*(1+$A113)^3))*$B$51))/(1+$B$53)^3.5+((($G$57*(1+$A113)^5)*F$110*(1-0.25)+($G$57*(1+$A113)^5)*$B$49-($G$57*(1+$A113)^5)*$B$50-(($G$57*(1+$A113)^5)-($G$57*(1+$A113)^4))*$B$51))/(1+$B$53)^4.5+((($G$57*(1+$A113)^6)*F$110*(1-0.25)+($G$57*(1+$A113)^6)*$B$49-($G$57*(1+$A113)^6)*$B$50-(($G$57*(1+$A113)^6)-($G$57*(1+$A113)^5))*$B$51))/(1+$B$53)^5.5+((($G$57*(1+$A113)^7)*F$110*(1-0.25)+($G$57*(1+$A113)^7)*$B$49-($G$57*(1+$A113)^7)*$B$50-(($G$57*(1+$A113)^7)-($G$57*(1+$A113)^6))*$B$51))/(1+$B$53)^6.5+((($G$57*(1+$A113)^8)*F$110*(1-0.25)+($G$57*(1+$A113)^8)*$B$49-($G$57*(1+$A113)^8)*$B$50-(($G$57*(1+$A113)^8)-($G$57*(1+$A113)^7))*$B$51))/(1+$B$53)^7.5+((($G$57*(1+$A113)^9)*F$110*(1-0.25)+($G$57*(1+$A113)^9)*$B$49-($G$57*(1+$A113)^9)*$B$50-(($G$57*(1+$A113)^9)-($G$57*(1+$A113)^8))*$B$51))/(1+$B$53)^8.5+((($G$57*(1+$A113)^10)*F$110*(1-0.25)+($G$57*(1+$A113)^10)*$B$49-($G$57*(1+$A113)^10)*$B$50-(($G$57*(1+$A113)^10)-($G$57*(1+$A113)^9))*$B$51))/(1+$B$53)^9.5+(((($G$57*(1+$A113)^10)*F$110*(1-0.25)+($G$57*(1+$A113)^10)*$B$49-($G$57*(1+$A113)^10)*$B$50-(($G$57*(1+$A113)^10)-($G$57*(1+$A113)^9))*$B$51))*(1+$B$52))/($B$53-$B$52)/(1+$B$53)^9.5)-B83-B84)*100/B86,NA())</f>
        <v/>
      </c>
      <c r="G113" s="12" t="n"/>
    </row>
    <row r="114">
      <c r="A114" s="57" t="n">
        <v>0.0527</v>
      </c>
      <c r="B114" s="53">
        <f>IFERROR(((((($G$57*(1+$A114)^1)*B$110*(1-0.25)+($G$57*(1+$A114)^1)*$B$49-($G$57*(1+$A114)^1)*$B$50-(($G$57*(1+$A114)^1)-($G$57*(1+$A114)^0))*$B$51))/(1+$B$53)^0.5+((($G$57*(1+$A114)^2)*B$110*(1-0.25)+($G$57*(1+$A114)^2)*$B$49-($G$57*(1+$A114)^2)*$B$50-(($G$57*(1+$A114)^2)-($G$57*(1+$A114)^1))*$B$51))/(1+$B$53)^1.5+((($G$57*(1+$A114)^3)*B$110*(1-0.25)+($G$57*(1+$A114)^3)*$B$49-($G$57*(1+$A114)^3)*$B$50-(($G$57*(1+$A114)^3)-($G$57*(1+$A114)^2))*$B$51))/(1+$B$53)^2.5+((($G$57*(1+$A114)^4)*B$110*(1-0.25)+($G$57*(1+$A114)^4)*$B$49-($G$57*(1+$A114)^4)*$B$50-(($G$57*(1+$A114)^4)-($G$57*(1+$A114)^3))*$B$51))/(1+$B$53)^3.5+((($G$57*(1+$A114)^5)*B$110*(1-0.25)+($G$57*(1+$A114)^5)*$B$49-($G$57*(1+$A114)^5)*$B$50-(($G$57*(1+$A114)^5)-($G$57*(1+$A114)^4))*$B$51))/(1+$B$53)^4.5+((($G$57*(1+$A114)^6)*B$110*(1-0.25)+($G$57*(1+$A114)^6)*$B$49-($G$57*(1+$A114)^6)*$B$50-(($G$57*(1+$A114)^6)-($G$57*(1+$A114)^5))*$B$51))/(1+$B$53)^5.5+((($G$57*(1+$A114)^7)*B$110*(1-0.25)+($G$57*(1+$A114)^7)*$B$49-($G$57*(1+$A114)^7)*$B$50-(($G$57*(1+$A114)^7)-($G$57*(1+$A114)^6))*$B$51))/(1+$B$53)^6.5+((($G$57*(1+$A114)^8)*B$110*(1-0.25)+($G$57*(1+$A114)^8)*$B$49-($G$57*(1+$A114)^8)*$B$50-(($G$57*(1+$A114)^8)-($G$57*(1+$A114)^7))*$B$51))/(1+$B$53)^7.5+((($G$57*(1+$A114)^9)*B$110*(1-0.25)+($G$57*(1+$A114)^9)*$B$49-($G$57*(1+$A114)^9)*$B$50-(($G$57*(1+$A114)^9)-($G$57*(1+$A114)^8))*$B$51))/(1+$B$53)^8.5+((($G$57*(1+$A114)^10)*B$110*(1-0.25)+($G$57*(1+$A114)^10)*$B$49-($G$57*(1+$A114)^10)*$B$50-(($G$57*(1+$A114)^10)-($G$57*(1+$A114)^9))*$B$51))/(1+$B$53)^9.5+(((($G$57*(1+$A114)^10)*B$110*(1-0.25)+($G$57*(1+$A114)^10)*$B$49-($G$57*(1+$A114)^10)*$B$50-(($G$57*(1+$A114)^10)-($G$57*(1+$A114)^9))*$B$51))*(1+$B$52))/($B$53-$B$52)/(1+$B$53)^9.5)-B83-B84)*100/B86,NA())</f>
        <v/>
      </c>
      <c r="C114" s="53">
        <f>IFERROR(((((($G$57*(1+$A114)^1)*C$110*(1-0.25)+($G$57*(1+$A114)^1)*$B$49-($G$57*(1+$A114)^1)*$B$50-(($G$57*(1+$A114)^1)-($G$57*(1+$A114)^0))*$B$51))/(1+$B$53)^0.5+((($G$57*(1+$A114)^2)*C$110*(1-0.25)+($G$57*(1+$A114)^2)*$B$49-($G$57*(1+$A114)^2)*$B$50-(($G$57*(1+$A114)^2)-($G$57*(1+$A114)^1))*$B$51))/(1+$B$53)^1.5+((($G$57*(1+$A114)^3)*C$110*(1-0.25)+($G$57*(1+$A114)^3)*$B$49-($G$57*(1+$A114)^3)*$B$50-(($G$57*(1+$A114)^3)-($G$57*(1+$A114)^2))*$B$51))/(1+$B$53)^2.5+((($G$57*(1+$A114)^4)*C$110*(1-0.25)+($G$57*(1+$A114)^4)*$B$49-($G$57*(1+$A114)^4)*$B$50-(($G$57*(1+$A114)^4)-($G$57*(1+$A114)^3))*$B$51))/(1+$B$53)^3.5+((($G$57*(1+$A114)^5)*C$110*(1-0.25)+($G$57*(1+$A114)^5)*$B$49-($G$57*(1+$A114)^5)*$B$50-(($G$57*(1+$A114)^5)-($G$57*(1+$A114)^4))*$B$51))/(1+$B$53)^4.5+((($G$57*(1+$A114)^6)*C$110*(1-0.25)+($G$57*(1+$A114)^6)*$B$49-($G$57*(1+$A114)^6)*$B$50-(($G$57*(1+$A114)^6)-($G$57*(1+$A114)^5))*$B$51))/(1+$B$53)^5.5+((($G$57*(1+$A114)^7)*C$110*(1-0.25)+($G$57*(1+$A114)^7)*$B$49-($G$57*(1+$A114)^7)*$B$50-(($G$57*(1+$A114)^7)-($G$57*(1+$A114)^6))*$B$51))/(1+$B$53)^6.5+((($G$57*(1+$A114)^8)*C$110*(1-0.25)+($G$57*(1+$A114)^8)*$B$49-($G$57*(1+$A114)^8)*$B$50-(($G$57*(1+$A114)^8)-($G$57*(1+$A114)^7))*$B$51))/(1+$B$53)^7.5+((($G$57*(1+$A114)^9)*C$110*(1-0.25)+($G$57*(1+$A114)^9)*$B$49-($G$57*(1+$A114)^9)*$B$50-(($G$57*(1+$A114)^9)-($G$57*(1+$A114)^8))*$B$51))/(1+$B$53)^8.5+((($G$57*(1+$A114)^10)*C$110*(1-0.25)+($G$57*(1+$A114)^10)*$B$49-($G$57*(1+$A114)^10)*$B$50-(($G$57*(1+$A114)^10)-($G$57*(1+$A114)^9))*$B$51))/(1+$B$53)^9.5+(((($G$57*(1+$A114)^10)*C$110*(1-0.25)+($G$57*(1+$A114)^10)*$B$49-($G$57*(1+$A114)^10)*$B$50-(($G$57*(1+$A114)^10)-($G$57*(1+$A114)^9))*$B$51))*(1+$B$52))/($B$53-$B$52)/(1+$B$53)^9.5)-B83-B84)*100/B86,NA())</f>
        <v/>
      </c>
      <c r="D114" s="53">
        <f>IFERROR(((((($G$57*(1+$A114)^1)*D$110*(1-0.25)+($G$57*(1+$A114)^1)*$B$49-($G$57*(1+$A114)^1)*$B$50-(($G$57*(1+$A114)^1)-($G$57*(1+$A114)^0))*$B$51))/(1+$B$53)^0.5+((($G$57*(1+$A114)^2)*D$110*(1-0.25)+($G$57*(1+$A114)^2)*$B$49-($G$57*(1+$A114)^2)*$B$50-(($G$57*(1+$A114)^2)-($G$57*(1+$A114)^1))*$B$51))/(1+$B$53)^1.5+((($G$57*(1+$A114)^3)*D$110*(1-0.25)+($G$57*(1+$A114)^3)*$B$49-($G$57*(1+$A114)^3)*$B$50-(($G$57*(1+$A114)^3)-($G$57*(1+$A114)^2))*$B$51))/(1+$B$53)^2.5+((($G$57*(1+$A114)^4)*D$110*(1-0.25)+($G$57*(1+$A114)^4)*$B$49-($G$57*(1+$A114)^4)*$B$50-(($G$57*(1+$A114)^4)-($G$57*(1+$A114)^3))*$B$51))/(1+$B$53)^3.5+((($G$57*(1+$A114)^5)*D$110*(1-0.25)+($G$57*(1+$A114)^5)*$B$49-($G$57*(1+$A114)^5)*$B$50-(($G$57*(1+$A114)^5)-($G$57*(1+$A114)^4))*$B$51))/(1+$B$53)^4.5+((($G$57*(1+$A114)^6)*D$110*(1-0.25)+($G$57*(1+$A114)^6)*$B$49-($G$57*(1+$A114)^6)*$B$50-(($G$57*(1+$A114)^6)-($G$57*(1+$A114)^5))*$B$51))/(1+$B$53)^5.5+((($G$57*(1+$A114)^7)*D$110*(1-0.25)+($G$57*(1+$A114)^7)*$B$49-($G$57*(1+$A114)^7)*$B$50-(($G$57*(1+$A114)^7)-($G$57*(1+$A114)^6))*$B$51))/(1+$B$53)^6.5+((($G$57*(1+$A114)^8)*D$110*(1-0.25)+($G$57*(1+$A114)^8)*$B$49-($G$57*(1+$A114)^8)*$B$50-(($G$57*(1+$A114)^8)-($G$57*(1+$A114)^7))*$B$51))/(1+$B$53)^7.5+((($G$57*(1+$A114)^9)*D$110*(1-0.25)+($G$57*(1+$A114)^9)*$B$49-($G$57*(1+$A114)^9)*$B$50-(($G$57*(1+$A114)^9)-($G$57*(1+$A114)^8))*$B$51))/(1+$B$53)^8.5+((($G$57*(1+$A114)^10)*D$110*(1-0.25)+($G$57*(1+$A114)^10)*$B$49-($G$57*(1+$A114)^10)*$B$50-(($G$57*(1+$A114)^10)-($G$57*(1+$A114)^9))*$B$51))/(1+$B$53)^9.5+(((($G$57*(1+$A114)^10)*D$110*(1-0.25)+($G$57*(1+$A114)^10)*$B$49-($G$57*(1+$A114)^10)*$B$50-(($G$57*(1+$A114)^10)-($G$57*(1+$A114)^9))*$B$51))*(1+$B$52))/($B$53-$B$52)/(1+$B$53)^9.5)-B83-B84)*100/B86,NA())</f>
        <v/>
      </c>
      <c r="E114" s="53">
        <f>IFERROR(((((($G$57*(1+$A114)^1)*E$110*(1-0.25)+($G$57*(1+$A114)^1)*$B$49-($G$57*(1+$A114)^1)*$B$50-(($G$57*(1+$A114)^1)-($G$57*(1+$A114)^0))*$B$51))/(1+$B$53)^0.5+((($G$57*(1+$A114)^2)*E$110*(1-0.25)+($G$57*(1+$A114)^2)*$B$49-($G$57*(1+$A114)^2)*$B$50-(($G$57*(1+$A114)^2)-($G$57*(1+$A114)^1))*$B$51))/(1+$B$53)^1.5+((($G$57*(1+$A114)^3)*E$110*(1-0.25)+($G$57*(1+$A114)^3)*$B$49-($G$57*(1+$A114)^3)*$B$50-(($G$57*(1+$A114)^3)-($G$57*(1+$A114)^2))*$B$51))/(1+$B$53)^2.5+((($G$57*(1+$A114)^4)*E$110*(1-0.25)+($G$57*(1+$A114)^4)*$B$49-($G$57*(1+$A114)^4)*$B$50-(($G$57*(1+$A114)^4)-($G$57*(1+$A114)^3))*$B$51))/(1+$B$53)^3.5+((($G$57*(1+$A114)^5)*E$110*(1-0.25)+($G$57*(1+$A114)^5)*$B$49-($G$57*(1+$A114)^5)*$B$50-(($G$57*(1+$A114)^5)-($G$57*(1+$A114)^4))*$B$51))/(1+$B$53)^4.5+((($G$57*(1+$A114)^6)*E$110*(1-0.25)+($G$57*(1+$A114)^6)*$B$49-($G$57*(1+$A114)^6)*$B$50-(($G$57*(1+$A114)^6)-($G$57*(1+$A114)^5))*$B$51))/(1+$B$53)^5.5+((($G$57*(1+$A114)^7)*E$110*(1-0.25)+($G$57*(1+$A114)^7)*$B$49-($G$57*(1+$A114)^7)*$B$50-(($G$57*(1+$A114)^7)-($G$57*(1+$A114)^6))*$B$51))/(1+$B$53)^6.5+((($G$57*(1+$A114)^8)*E$110*(1-0.25)+($G$57*(1+$A114)^8)*$B$49-($G$57*(1+$A114)^8)*$B$50-(($G$57*(1+$A114)^8)-($G$57*(1+$A114)^7))*$B$51))/(1+$B$53)^7.5+((($G$57*(1+$A114)^9)*E$110*(1-0.25)+($G$57*(1+$A114)^9)*$B$49-($G$57*(1+$A114)^9)*$B$50-(($G$57*(1+$A114)^9)-($G$57*(1+$A114)^8))*$B$51))/(1+$B$53)^8.5+((($G$57*(1+$A114)^10)*E$110*(1-0.25)+($G$57*(1+$A114)^10)*$B$49-($G$57*(1+$A114)^10)*$B$50-(($G$57*(1+$A114)^10)-($G$57*(1+$A114)^9))*$B$51))/(1+$B$53)^9.5+(((($G$57*(1+$A114)^10)*E$110*(1-0.25)+($G$57*(1+$A114)^10)*$B$49-($G$57*(1+$A114)^10)*$B$50-(($G$57*(1+$A114)^10)-($G$57*(1+$A114)^9))*$B$51))*(1+$B$52))/($B$53-$B$52)/(1+$B$53)^9.5)-B83-B84)*100/B86,NA())</f>
        <v/>
      </c>
      <c r="F114" s="53">
        <f>IFERROR(((((($G$57*(1+$A114)^1)*F$110*(1-0.25)+($G$57*(1+$A114)^1)*$B$49-($G$57*(1+$A114)^1)*$B$50-(($G$57*(1+$A114)^1)-($G$57*(1+$A114)^0))*$B$51))/(1+$B$53)^0.5+((($G$57*(1+$A114)^2)*F$110*(1-0.25)+($G$57*(1+$A114)^2)*$B$49-($G$57*(1+$A114)^2)*$B$50-(($G$57*(1+$A114)^2)-($G$57*(1+$A114)^1))*$B$51))/(1+$B$53)^1.5+((($G$57*(1+$A114)^3)*F$110*(1-0.25)+($G$57*(1+$A114)^3)*$B$49-($G$57*(1+$A114)^3)*$B$50-(($G$57*(1+$A114)^3)-($G$57*(1+$A114)^2))*$B$51))/(1+$B$53)^2.5+((($G$57*(1+$A114)^4)*F$110*(1-0.25)+($G$57*(1+$A114)^4)*$B$49-($G$57*(1+$A114)^4)*$B$50-(($G$57*(1+$A114)^4)-($G$57*(1+$A114)^3))*$B$51))/(1+$B$53)^3.5+((($G$57*(1+$A114)^5)*F$110*(1-0.25)+($G$57*(1+$A114)^5)*$B$49-($G$57*(1+$A114)^5)*$B$50-(($G$57*(1+$A114)^5)-($G$57*(1+$A114)^4))*$B$51))/(1+$B$53)^4.5+((($G$57*(1+$A114)^6)*F$110*(1-0.25)+($G$57*(1+$A114)^6)*$B$49-($G$57*(1+$A114)^6)*$B$50-(($G$57*(1+$A114)^6)-($G$57*(1+$A114)^5))*$B$51))/(1+$B$53)^5.5+((($G$57*(1+$A114)^7)*F$110*(1-0.25)+($G$57*(1+$A114)^7)*$B$49-($G$57*(1+$A114)^7)*$B$50-(($G$57*(1+$A114)^7)-($G$57*(1+$A114)^6))*$B$51))/(1+$B$53)^6.5+((($G$57*(1+$A114)^8)*F$110*(1-0.25)+($G$57*(1+$A114)^8)*$B$49-($G$57*(1+$A114)^8)*$B$50-(($G$57*(1+$A114)^8)-($G$57*(1+$A114)^7))*$B$51))/(1+$B$53)^7.5+((($G$57*(1+$A114)^9)*F$110*(1-0.25)+($G$57*(1+$A114)^9)*$B$49-($G$57*(1+$A114)^9)*$B$50-(($G$57*(1+$A114)^9)-($G$57*(1+$A114)^8))*$B$51))/(1+$B$53)^8.5+((($G$57*(1+$A114)^10)*F$110*(1-0.25)+($G$57*(1+$A114)^10)*$B$49-($G$57*(1+$A114)^10)*$B$50-(($G$57*(1+$A114)^10)-($G$57*(1+$A114)^9))*$B$51))/(1+$B$53)^9.5+(((($G$57*(1+$A114)^10)*F$110*(1-0.25)+($G$57*(1+$A114)^10)*$B$49-($G$57*(1+$A114)^10)*$B$50-(($G$57*(1+$A114)^10)-($G$57*(1+$A114)^9))*$B$51))*(1+$B$52))/($B$53-$B$52)/(1+$B$53)^9.5)-B83-B84)*100/B86,NA())</f>
        <v/>
      </c>
      <c r="G114" s="12" t="n"/>
    </row>
    <row r="115">
      <c r="A115" s="58" t="n">
        <v>0.06270000000000001</v>
      </c>
      <c r="B115" s="55">
        <f>IFERROR(((((($G$57*(1+$A115)^1)*B$110*(1-0.25)+($G$57*(1+$A115)^1)*$B$49-($G$57*(1+$A115)^1)*$B$50-(($G$57*(1+$A115)^1)-($G$57*(1+$A115)^0))*$B$51))/(1+$B$53)^0.5+((($G$57*(1+$A115)^2)*B$110*(1-0.25)+($G$57*(1+$A115)^2)*$B$49-($G$57*(1+$A115)^2)*$B$50-(($G$57*(1+$A115)^2)-($G$57*(1+$A115)^1))*$B$51))/(1+$B$53)^1.5+((($G$57*(1+$A115)^3)*B$110*(1-0.25)+($G$57*(1+$A115)^3)*$B$49-($G$57*(1+$A115)^3)*$B$50-(($G$57*(1+$A115)^3)-($G$57*(1+$A115)^2))*$B$51))/(1+$B$53)^2.5+((($G$57*(1+$A115)^4)*B$110*(1-0.25)+($G$57*(1+$A115)^4)*$B$49-($G$57*(1+$A115)^4)*$B$50-(($G$57*(1+$A115)^4)-($G$57*(1+$A115)^3))*$B$51))/(1+$B$53)^3.5+((($G$57*(1+$A115)^5)*B$110*(1-0.25)+($G$57*(1+$A115)^5)*$B$49-($G$57*(1+$A115)^5)*$B$50-(($G$57*(1+$A115)^5)-($G$57*(1+$A115)^4))*$B$51))/(1+$B$53)^4.5+((($G$57*(1+$A115)^6)*B$110*(1-0.25)+($G$57*(1+$A115)^6)*$B$49-($G$57*(1+$A115)^6)*$B$50-(($G$57*(1+$A115)^6)-($G$57*(1+$A115)^5))*$B$51))/(1+$B$53)^5.5+((($G$57*(1+$A115)^7)*B$110*(1-0.25)+($G$57*(1+$A115)^7)*$B$49-($G$57*(1+$A115)^7)*$B$50-(($G$57*(1+$A115)^7)-($G$57*(1+$A115)^6))*$B$51))/(1+$B$53)^6.5+((($G$57*(1+$A115)^8)*B$110*(1-0.25)+($G$57*(1+$A115)^8)*$B$49-($G$57*(1+$A115)^8)*$B$50-(($G$57*(1+$A115)^8)-($G$57*(1+$A115)^7))*$B$51))/(1+$B$53)^7.5+((($G$57*(1+$A115)^9)*B$110*(1-0.25)+($G$57*(1+$A115)^9)*$B$49-($G$57*(1+$A115)^9)*$B$50-(($G$57*(1+$A115)^9)-($G$57*(1+$A115)^8))*$B$51))/(1+$B$53)^8.5+((($G$57*(1+$A115)^10)*B$110*(1-0.25)+($G$57*(1+$A115)^10)*$B$49-($G$57*(1+$A115)^10)*$B$50-(($G$57*(1+$A115)^10)-($G$57*(1+$A115)^9))*$B$51))/(1+$B$53)^9.5+(((($G$57*(1+$A115)^10)*B$110*(1-0.25)+($G$57*(1+$A115)^10)*$B$49-($G$57*(1+$A115)^10)*$B$50-(($G$57*(1+$A115)^10)-($G$57*(1+$A115)^9))*$B$51))*(1+$B$52))/($B$53-$B$52)/(1+$B$53)^9.5)-B83-B84)*100/B86,NA())</f>
        <v/>
      </c>
      <c r="C115" s="55">
        <f>IFERROR(((((($G$57*(1+$A115)^1)*C$110*(1-0.25)+($G$57*(1+$A115)^1)*$B$49-($G$57*(1+$A115)^1)*$B$50-(($G$57*(1+$A115)^1)-($G$57*(1+$A115)^0))*$B$51))/(1+$B$53)^0.5+((($G$57*(1+$A115)^2)*C$110*(1-0.25)+($G$57*(1+$A115)^2)*$B$49-($G$57*(1+$A115)^2)*$B$50-(($G$57*(1+$A115)^2)-($G$57*(1+$A115)^1))*$B$51))/(1+$B$53)^1.5+((($G$57*(1+$A115)^3)*C$110*(1-0.25)+($G$57*(1+$A115)^3)*$B$49-($G$57*(1+$A115)^3)*$B$50-(($G$57*(1+$A115)^3)-($G$57*(1+$A115)^2))*$B$51))/(1+$B$53)^2.5+((($G$57*(1+$A115)^4)*C$110*(1-0.25)+($G$57*(1+$A115)^4)*$B$49-($G$57*(1+$A115)^4)*$B$50-(($G$57*(1+$A115)^4)-($G$57*(1+$A115)^3))*$B$51))/(1+$B$53)^3.5+((($G$57*(1+$A115)^5)*C$110*(1-0.25)+($G$57*(1+$A115)^5)*$B$49-($G$57*(1+$A115)^5)*$B$50-(($G$57*(1+$A115)^5)-($G$57*(1+$A115)^4))*$B$51))/(1+$B$53)^4.5+((($G$57*(1+$A115)^6)*C$110*(1-0.25)+($G$57*(1+$A115)^6)*$B$49-($G$57*(1+$A115)^6)*$B$50-(($G$57*(1+$A115)^6)-($G$57*(1+$A115)^5))*$B$51))/(1+$B$53)^5.5+((($G$57*(1+$A115)^7)*C$110*(1-0.25)+($G$57*(1+$A115)^7)*$B$49-($G$57*(1+$A115)^7)*$B$50-(($G$57*(1+$A115)^7)-($G$57*(1+$A115)^6))*$B$51))/(1+$B$53)^6.5+((($G$57*(1+$A115)^8)*C$110*(1-0.25)+($G$57*(1+$A115)^8)*$B$49-($G$57*(1+$A115)^8)*$B$50-(($G$57*(1+$A115)^8)-($G$57*(1+$A115)^7))*$B$51))/(1+$B$53)^7.5+((($G$57*(1+$A115)^9)*C$110*(1-0.25)+($G$57*(1+$A115)^9)*$B$49-($G$57*(1+$A115)^9)*$B$50-(($G$57*(1+$A115)^9)-($G$57*(1+$A115)^8))*$B$51))/(1+$B$53)^8.5+((($G$57*(1+$A115)^10)*C$110*(1-0.25)+($G$57*(1+$A115)^10)*$B$49-($G$57*(1+$A115)^10)*$B$50-(($G$57*(1+$A115)^10)-($G$57*(1+$A115)^9))*$B$51))/(1+$B$53)^9.5+(((($G$57*(1+$A115)^10)*C$110*(1-0.25)+($G$57*(1+$A115)^10)*$B$49-($G$57*(1+$A115)^10)*$B$50-(($G$57*(1+$A115)^10)-($G$57*(1+$A115)^9))*$B$51))*(1+$B$52))/($B$53-$B$52)/(1+$B$53)^9.5)-B83-B84)*100/B86,NA())</f>
        <v/>
      </c>
      <c r="D115" s="55">
        <f>IFERROR(((((($G$57*(1+$A115)^1)*D$110*(1-0.25)+($G$57*(1+$A115)^1)*$B$49-($G$57*(1+$A115)^1)*$B$50-(($G$57*(1+$A115)^1)-($G$57*(1+$A115)^0))*$B$51))/(1+$B$53)^0.5+((($G$57*(1+$A115)^2)*D$110*(1-0.25)+($G$57*(1+$A115)^2)*$B$49-($G$57*(1+$A115)^2)*$B$50-(($G$57*(1+$A115)^2)-($G$57*(1+$A115)^1))*$B$51))/(1+$B$53)^1.5+((($G$57*(1+$A115)^3)*D$110*(1-0.25)+($G$57*(1+$A115)^3)*$B$49-($G$57*(1+$A115)^3)*$B$50-(($G$57*(1+$A115)^3)-($G$57*(1+$A115)^2))*$B$51))/(1+$B$53)^2.5+((($G$57*(1+$A115)^4)*D$110*(1-0.25)+($G$57*(1+$A115)^4)*$B$49-($G$57*(1+$A115)^4)*$B$50-(($G$57*(1+$A115)^4)-($G$57*(1+$A115)^3))*$B$51))/(1+$B$53)^3.5+((($G$57*(1+$A115)^5)*D$110*(1-0.25)+($G$57*(1+$A115)^5)*$B$49-($G$57*(1+$A115)^5)*$B$50-(($G$57*(1+$A115)^5)-($G$57*(1+$A115)^4))*$B$51))/(1+$B$53)^4.5+((($G$57*(1+$A115)^6)*D$110*(1-0.25)+($G$57*(1+$A115)^6)*$B$49-($G$57*(1+$A115)^6)*$B$50-(($G$57*(1+$A115)^6)-($G$57*(1+$A115)^5))*$B$51))/(1+$B$53)^5.5+((($G$57*(1+$A115)^7)*D$110*(1-0.25)+($G$57*(1+$A115)^7)*$B$49-($G$57*(1+$A115)^7)*$B$50-(($G$57*(1+$A115)^7)-($G$57*(1+$A115)^6))*$B$51))/(1+$B$53)^6.5+((($G$57*(1+$A115)^8)*D$110*(1-0.25)+($G$57*(1+$A115)^8)*$B$49-($G$57*(1+$A115)^8)*$B$50-(($G$57*(1+$A115)^8)-($G$57*(1+$A115)^7))*$B$51))/(1+$B$53)^7.5+((($G$57*(1+$A115)^9)*D$110*(1-0.25)+($G$57*(1+$A115)^9)*$B$49-($G$57*(1+$A115)^9)*$B$50-(($G$57*(1+$A115)^9)-($G$57*(1+$A115)^8))*$B$51))/(1+$B$53)^8.5+((($G$57*(1+$A115)^10)*D$110*(1-0.25)+($G$57*(1+$A115)^10)*$B$49-($G$57*(1+$A115)^10)*$B$50-(($G$57*(1+$A115)^10)-($G$57*(1+$A115)^9))*$B$51))/(1+$B$53)^9.5+(((($G$57*(1+$A115)^10)*D$110*(1-0.25)+($G$57*(1+$A115)^10)*$B$49-($G$57*(1+$A115)^10)*$B$50-(($G$57*(1+$A115)^10)-($G$57*(1+$A115)^9))*$B$51))*(1+$B$52))/($B$53-$B$52)/(1+$B$53)^9.5)-B83-B84)*100/B86,NA())</f>
        <v/>
      </c>
      <c r="E115" s="55">
        <f>IFERROR(((((($G$57*(1+$A115)^1)*E$110*(1-0.25)+($G$57*(1+$A115)^1)*$B$49-($G$57*(1+$A115)^1)*$B$50-(($G$57*(1+$A115)^1)-($G$57*(1+$A115)^0))*$B$51))/(1+$B$53)^0.5+((($G$57*(1+$A115)^2)*E$110*(1-0.25)+($G$57*(1+$A115)^2)*$B$49-($G$57*(1+$A115)^2)*$B$50-(($G$57*(1+$A115)^2)-($G$57*(1+$A115)^1))*$B$51))/(1+$B$53)^1.5+((($G$57*(1+$A115)^3)*E$110*(1-0.25)+($G$57*(1+$A115)^3)*$B$49-($G$57*(1+$A115)^3)*$B$50-(($G$57*(1+$A115)^3)-($G$57*(1+$A115)^2))*$B$51))/(1+$B$53)^2.5+((($G$57*(1+$A115)^4)*E$110*(1-0.25)+($G$57*(1+$A115)^4)*$B$49-($G$57*(1+$A115)^4)*$B$50-(($G$57*(1+$A115)^4)-($G$57*(1+$A115)^3))*$B$51))/(1+$B$53)^3.5+((($G$57*(1+$A115)^5)*E$110*(1-0.25)+($G$57*(1+$A115)^5)*$B$49-($G$57*(1+$A115)^5)*$B$50-(($G$57*(1+$A115)^5)-($G$57*(1+$A115)^4))*$B$51))/(1+$B$53)^4.5+((($G$57*(1+$A115)^6)*E$110*(1-0.25)+($G$57*(1+$A115)^6)*$B$49-($G$57*(1+$A115)^6)*$B$50-(($G$57*(1+$A115)^6)-($G$57*(1+$A115)^5))*$B$51))/(1+$B$53)^5.5+((($G$57*(1+$A115)^7)*E$110*(1-0.25)+($G$57*(1+$A115)^7)*$B$49-($G$57*(1+$A115)^7)*$B$50-(($G$57*(1+$A115)^7)-($G$57*(1+$A115)^6))*$B$51))/(1+$B$53)^6.5+((($G$57*(1+$A115)^8)*E$110*(1-0.25)+($G$57*(1+$A115)^8)*$B$49-($G$57*(1+$A115)^8)*$B$50-(($G$57*(1+$A115)^8)-($G$57*(1+$A115)^7))*$B$51))/(1+$B$53)^7.5+((($G$57*(1+$A115)^9)*E$110*(1-0.25)+($G$57*(1+$A115)^9)*$B$49-($G$57*(1+$A115)^9)*$B$50-(($G$57*(1+$A115)^9)-($G$57*(1+$A115)^8))*$B$51))/(1+$B$53)^8.5+((($G$57*(1+$A115)^10)*E$110*(1-0.25)+($G$57*(1+$A115)^10)*$B$49-($G$57*(1+$A115)^10)*$B$50-(($G$57*(1+$A115)^10)-($G$57*(1+$A115)^9))*$B$51))/(1+$B$53)^9.5+(((($G$57*(1+$A115)^10)*E$110*(1-0.25)+($G$57*(1+$A115)^10)*$B$49-($G$57*(1+$A115)^10)*$B$50-(($G$57*(1+$A115)^10)-($G$57*(1+$A115)^9))*$B$51))*(1+$B$52))/($B$53-$B$52)/(1+$B$53)^9.5)-B83-B84)*100/B86,NA())</f>
        <v/>
      </c>
      <c r="F115" s="55">
        <f>IFERROR(((((($G$57*(1+$A115)^1)*F$110*(1-0.25)+($G$57*(1+$A115)^1)*$B$49-($G$57*(1+$A115)^1)*$B$50-(($G$57*(1+$A115)^1)-($G$57*(1+$A115)^0))*$B$51))/(1+$B$53)^0.5+((($G$57*(1+$A115)^2)*F$110*(1-0.25)+($G$57*(1+$A115)^2)*$B$49-($G$57*(1+$A115)^2)*$B$50-(($G$57*(1+$A115)^2)-($G$57*(1+$A115)^1))*$B$51))/(1+$B$53)^1.5+((($G$57*(1+$A115)^3)*F$110*(1-0.25)+($G$57*(1+$A115)^3)*$B$49-($G$57*(1+$A115)^3)*$B$50-(($G$57*(1+$A115)^3)-($G$57*(1+$A115)^2))*$B$51))/(1+$B$53)^2.5+((($G$57*(1+$A115)^4)*F$110*(1-0.25)+($G$57*(1+$A115)^4)*$B$49-($G$57*(1+$A115)^4)*$B$50-(($G$57*(1+$A115)^4)-($G$57*(1+$A115)^3))*$B$51))/(1+$B$53)^3.5+((($G$57*(1+$A115)^5)*F$110*(1-0.25)+($G$57*(1+$A115)^5)*$B$49-($G$57*(1+$A115)^5)*$B$50-(($G$57*(1+$A115)^5)-($G$57*(1+$A115)^4))*$B$51))/(1+$B$53)^4.5+((($G$57*(1+$A115)^6)*F$110*(1-0.25)+($G$57*(1+$A115)^6)*$B$49-($G$57*(1+$A115)^6)*$B$50-(($G$57*(1+$A115)^6)-($G$57*(1+$A115)^5))*$B$51))/(1+$B$53)^5.5+((($G$57*(1+$A115)^7)*F$110*(1-0.25)+($G$57*(1+$A115)^7)*$B$49-($G$57*(1+$A115)^7)*$B$50-(($G$57*(1+$A115)^7)-($G$57*(1+$A115)^6))*$B$51))/(1+$B$53)^6.5+((($G$57*(1+$A115)^8)*F$110*(1-0.25)+($G$57*(1+$A115)^8)*$B$49-($G$57*(1+$A115)^8)*$B$50-(($G$57*(1+$A115)^8)-($G$57*(1+$A115)^7))*$B$51))/(1+$B$53)^7.5+((($G$57*(1+$A115)^9)*F$110*(1-0.25)+($G$57*(1+$A115)^9)*$B$49-($G$57*(1+$A115)^9)*$B$50-(($G$57*(1+$A115)^9)-($G$57*(1+$A115)^8))*$B$51))/(1+$B$53)^8.5+((($G$57*(1+$A115)^10)*F$110*(1-0.25)+($G$57*(1+$A115)^10)*$B$49-($G$57*(1+$A115)^10)*$B$50-(($G$57*(1+$A115)^10)-($G$57*(1+$A115)^9))*$B$51))/(1+$B$53)^9.5+(((($G$57*(1+$A115)^10)*F$110*(1-0.25)+($G$57*(1+$A115)^10)*$B$49-($G$57*(1+$A115)^10)*$B$50-(($G$57*(1+$A115)^10)-($G$57*(1+$A115)^9))*$B$51))*(1+$B$52))/($B$53-$B$52)/(1+$B$53)^9.5)-B83-B84)*100/B86,NA())</f>
        <v/>
      </c>
      <c r="G115" s="18" t="n"/>
    </row>
    <row r="121">
      <c r="A121" s="6" t="inlineStr">
        <is>
          <t>SENSITIVITY 3 — Beta × Risk-Free Rate (Implied Price ¥/sh)</t>
        </is>
      </c>
      <c r="B121" s="7" t="n"/>
      <c r="C121" s="7" t="n"/>
      <c r="D121" s="7" t="n"/>
      <c r="E121" s="7" t="n"/>
      <c r="F121" s="7" t="n"/>
      <c r="G121" s="8" t="n"/>
    </row>
    <row r="122">
      <c r="A122" s="19" t="inlineStr">
        <is>
          <t>β \ Rf →</t>
        </is>
      </c>
      <c r="B122" s="51" t="n">
        <v>0.017</v>
      </c>
      <c r="C122" s="51" t="n">
        <v>0.022</v>
      </c>
      <c r="D122" s="51" t="n">
        <v>0.027</v>
      </c>
      <c r="E122" s="51" t="n">
        <v>0.032</v>
      </c>
      <c r="F122" s="51" t="n">
        <v>0.037</v>
      </c>
      <c r="G122" s="12" t="n"/>
    </row>
    <row r="123">
      <c r="A123" s="59" t="n">
        <v>0.5940000000000001</v>
      </c>
      <c r="B123" s="53">
        <f>IFERROR(((H71/(1+(B$122+$A123*0.06))^0.5+I71/(1+(B$122+$A123*0.06))^1.5+J71/(1+(B$122+$A123*0.06))^2.5+K71/(1+(B$122+$A123*0.06))^3.5+L71/(1+(B$122+$A123*0.06))^4.5+M71/(1+(B$122+$A123*0.06))^5.5+N71/(1+(B$122+$A123*0.06))^6.5+O71/(1+(B$122+$A123*0.06))^7.5+P71/(1+(B$122+$A123*0.06))^8.5+Q71/(1+(B$122+$A123*0.06))^9.5+(Q71*(1+$B$52)/((B$122+$A123*0.06)-$B$52))/(1+(B$122+$A123*0.06))^9.5)-B83-B84)*100/B86,NA())</f>
        <v/>
      </c>
      <c r="C123" s="53">
        <f>IFERROR(((H71/(1+(C$122+$A123*0.06))^0.5+I71/(1+(C$122+$A123*0.06))^1.5+J71/(1+(C$122+$A123*0.06))^2.5+K71/(1+(C$122+$A123*0.06))^3.5+L71/(1+(C$122+$A123*0.06))^4.5+M71/(1+(C$122+$A123*0.06))^5.5+N71/(1+(C$122+$A123*0.06))^6.5+O71/(1+(C$122+$A123*0.06))^7.5+P71/(1+(C$122+$A123*0.06))^8.5+Q71/(1+(C$122+$A123*0.06))^9.5+(Q71*(1+$B$52)/((C$122+$A123*0.06)-$B$52))/(1+(C$122+$A123*0.06))^9.5)-B83-B84)*100/B86,NA())</f>
        <v/>
      </c>
      <c r="D123" s="53">
        <f>IFERROR(((H71/(1+(D$122+$A123*0.06))^0.5+I71/(1+(D$122+$A123*0.06))^1.5+J71/(1+(D$122+$A123*0.06))^2.5+K71/(1+(D$122+$A123*0.06))^3.5+L71/(1+(D$122+$A123*0.06))^4.5+M71/(1+(D$122+$A123*0.06))^5.5+N71/(1+(D$122+$A123*0.06))^6.5+O71/(1+(D$122+$A123*0.06))^7.5+P71/(1+(D$122+$A123*0.06))^8.5+Q71/(1+(D$122+$A123*0.06))^9.5+(Q71*(1+$B$52)/((D$122+$A123*0.06)-$B$52))/(1+(D$122+$A123*0.06))^9.5)-B83-B84)*100/B86,NA())</f>
        <v/>
      </c>
      <c r="E123" s="53">
        <f>IFERROR(((H71/(1+(E$122+$A123*0.06))^0.5+I71/(1+(E$122+$A123*0.06))^1.5+J71/(1+(E$122+$A123*0.06))^2.5+K71/(1+(E$122+$A123*0.06))^3.5+L71/(1+(E$122+$A123*0.06))^4.5+M71/(1+(E$122+$A123*0.06))^5.5+N71/(1+(E$122+$A123*0.06))^6.5+O71/(1+(E$122+$A123*0.06))^7.5+P71/(1+(E$122+$A123*0.06))^8.5+Q71/(1+(E$122+$A123*0.06))^9.5+(Q71*(1+$B$52)/((E$122+$A123*0.06)-$B$52))/(1+(E$122+$A123*0.06))^9.5)-B83-B84)*100/B86,NA())</f>
        <v/>
      </c>
      <c r="F123" s="53">
        <f>IFERROR(((H71/(1+(F$122+$A123*0.06))^0.5+I71/(1+(F$122+$A123*0.06))^1.5+J71/(1+(F$122+$A123*0.06))^2.5+K71/(1+(F$122+$A123*0.06))^3.5+L71/(1+(F$122+$A123*0.06))^4.5+M71/(1+(F$122+$A123*0.06))^5.5+N71/(1+(F$122+$A123*0.06))^6.5+O71/(1+(F$122+$A123*0.06))^7.5+P71/(1+(F$122+$A123*0.06))^8.5+Q71/(1+(F$122+$A123*0.06))^9.5+(Q71*(1+$B$52)/((F$122+$A123*0.06)-$B$52))/(1+(F$122+$A123*0.06))^9.5)-B83-B84)*100/B86,NA())</f>
        <v/>
      </c>
      <c r="G123" s="12" t="n"/>
    </row>
    <row r="124">
      <c r="A124" s="59" t="n">
        <v>0.6940000000000001</v>
      </c>
      <c r="B124" s="53">
        <f>IFERROR(((H71/(1+(B$122+$A124*0.06))^0.5+I71/(1+(B$122+$A124*0.06))^1.5+J71/(1+(B$122+$A124*0.06))^2.5+K71/(1+(B$122+$A124*0.06))^3.5+L71/(1+(B$122+$A124*0.06))^4.5+M71/(1+(B$122+$A124*0.06))^5.5+N71/(1+(B$122+$A124*0.06))^6.5+O71/(1+(B$122+$A124*0.06))^7.5+P71/(1+(B$122+$A124*0.06))^8.5+Q71/(1+(B$122+$A124*0.06))^9.5+(Q71*(1+$B$52)/((B$122+$A124*0.06)-$B$52))/(1+(B$122+$A124*0.06))^9.5)-B83-B84)*100/B86,NA())</f>
        <v/>
      </c>
      <c r="C124" s="53">
        <f>IFERROR(((H71/(1+(C$122+$A124*0.06))^0.5+I71/(1+(C$122+$A124*0.06))^1.5+J71/(1+(C$122+$A124*0.06))^2.5+K71/(1+(C$122+$A124*0.06))^3.5+L71/(1+(C$122+$A124*0.06))^4.5+M71/(1+(C$122+$A124*0.06))^5.5+N71/(1+(C$122+$A124*0.06))^6.5+O71/(1+(C$122+$A124*0.06))^7.5+P71/(1+(C$122+$A124*0.06))^8.5+Q71/(1+(C$122+$A124*0.06))^9.5+(Q71*(1+$B$52)/((C$122+$A124*0.06)-$B$52))/(1+(C$122+$A124*0.06))^9.5)-B83-B84)*100/B86,NA())</f>
        <v/>
      </c>
      <c r="D124" s="53">
        <f>IFERROR(((H71/(1+(D$122+$A124*0.06))^0.5+I71/(1+(D$122+$A124*0.06))^1.5+J71/(1+(D$122+$A124*0.06))^2.5+K71/(1+(D$122+$A124*0.06))^3.5+L71/(1+(D$122+$A124*0.06))^4.5+M71/(1+(D$122+$A124*0.06))^5.5+N71/(1+(D$122+$A124*0.06))^6.5+O71/(1+(D$122+$A124*0.06))^7.5+P71/(1+(D$122+$A124*0.06))^8.5+Q71/(1+(D$122+$A124*0.06))^9.5+(Q71*(1+$B$52)/((D$122+$A124*0.06)-$B$52))/(1+(D$122+$A124*0.06))^9.5)-B83-B84)*100/B86,NA())</f>
        <v/>
      </c>
      <c r="E124" s="53">
        <f>IFERROR(((H71/(1+(E$122+$A124*0.06))^0.5+I71/(1+(E$122+$A124*0.06))^1.5+J71/(1+(E$122+$A124*0.06))^2.5+K71/(1+(E$122+$A124*0.06))^3.5+L71/(1+(E$122+$A124*0.06))^4.5+M71/(1+(E$122+$A124*0.06))^5.5+N71/(1+(E$122+$A124*0.06))^6.5+O71/(1+(E$122+$A124*0.06))^7.5+P71/(1+(E$122+$A124*0.06))^8.5+Q71/(1+(E$122+$A124*0.06))^9.5+(Q71*(1+$B$52)/((E$122+$A124*0.06)-$B$52))/(1+(E$122+$A124*0.06))^9.5)-B83-B84)*100/B86,NA())</f>
        <v/>
      </c>
      <c r="F124" s="53">
        <f>IFERROR(((H71/(1+(F$122+$A124*0.06))^0.5+I71/(1+(F$122+$A124*0.06))^1.5+J71/(1+(F$122+$A124*0.06))^2.5+K71/(1+(F$122+$A124*0.06))^3.5+L71/(1+(F$122+$A124*0.06))^4.5+M71/(1+(F$122+$A124*0.06))^5.5+N71/(1+(F$122+$A124*0.06))^6.5+O71/(1+(F$122+$A124*0.06))^7.5+P71/(1+(F$122+$A124*0.06))^8.5+Q71/(1+(F$122+$A124*0.06))^9.5+(Q71*(1+$B$52)/((F$122+$A124*0.06)-$B$52))/(1+(F$122+$A124*0.06))^9.5)-B83-B84)*100/B86,NA())</f>
        <v/>
      </c>
      <c r="G124" s="12" t="n"/>
    </row>
    <row r="125">
      <c r="A125" s="59" t="n">
        <v>0.794</v>
      </c>
      <c r="B125" s="53">
        <f>IFERROR(((H71/(1+(B$122+$A125*0.06))^0.5+I71/(1+(B$122+$A125*0.06))^1.5+J71/(1+(B$122+$A125*0.06))^2.5+K71/(1+(B$122+$A125*0.06))^3.5+L71/(1+(B$122+$A125*0.06))^4.5+M71/(1+(B$122+$A125*0.06))^5.5+N71/(1+(B$122+$A125*0.06))^6.5+O71/(1+(B$122+$A125*0.06))^7.5+P71/(1+(B$122+$A125*0.06))^8.5+Q71/(1+(B$122+$A125*0.06))^9.5+(Q71*(1+$B$52)/((B$122+$A125*0.06)-$B$52))/(1+(B$122+$A125*0.06))^9.5)-B83-B84)*100/B86,NA())</f>
        <v/>
      </c>
      <c r="C125" s="53">
        <f>IFERROR(((H71/(1+(C$122+$A125*0.06))^0.5+I71/(1+(C$122+$A125*0.06))^1.5+J71/(1+(C$122+$A125*0.06))^2.5+K71/(1+(C$122+$A125*0.06))^3.5+L71/(1+(C$122+$A125*0.06))^4.5+M71/(1+(C$122+$A125*0.06))^5.5+N71/(1+(C$122+$A125*0.06))^6.5+O71/(1+(C$122+$A125*0.06))^7.5+P71/(1+(C$122+$A125*0.06))^8.5+Q71/(1+(C$122+$A125*0.06))^9.5+(Q71*(1+$B$52)/((C$122+$A125*0.06)-$B$52))/(1+(C$122+$A125*0.06))^9.5)-B83-B84)*100/B86,NA())</f>
        <v/>
      </c>
      <c r="D125" s="48">
        <f>IFERROR(((H71/(1+(D$122+$A125*0.06))^0.5+I71/(1+(D$122+$A125*0.06))^1.5+J71/(1+(D$122+$A125*0.06))^2.5+K71/(1+(D$122+$A125*0.06))^3.5+L71/(1+(D$122+$A125*0.06))^4.5+M71/(1+(D$122+$A125*0.06))^5.5+N71/(1+(D$122+$A125*0.06))^6.5+O71/(1+(D$122+$A125*0.06))^7.5+P71/(1+(D$122+$A125*0.06))^8.5+Q71/(1+(D$122+$A125*0.06))^9.5+(Q71*(1+$B$52)/((D$122+$A125*0.06)-$B$52))/(1+(D$122+$A125*0.06))^9.5)-B83-B84)*100/B86,NA())</f>
        <v/>
      </c>
      <c r="E125" s="53">
        <f>IFERROR(((H71/(1+(E$122+$A125*0.06))^0.5+I71/(1+(E$122+$A125*0.06))^1.5+J71/(1+(E$122+$A125*0.06))^2.5+K71/(1+(E$122+$A125*0.06))^3.5+L71/(1+(E$122+$A125*0.06))^4.5+M71/(1+(E$122+$A125*0.06))^5.5+N71/(1+(E$122+$A125*0.06))^6.5+O71/(1+(E$122+$A125*0.06))^7.5+P71/(1+(E$122+$A125*0.06))^8.5+Q71/(1+(E$122+$A125*0.06))^9.5+(Q71*(1+$B$52)/((E$122+$A125*0.06)-$B$52))/(1+(E$122+$A125*0.06))^9.5)-B83-B84)*100/B86,NA())</f>
        <v/>
      </c>
      <c r="F125" s="53">
        <f>IFERROR(((H71/(1+(F$122+$A125*0.06))^0.5+I71/(1+(F$122+$A125*0.06))^1.5+J71/(1+(F$122+$A125*0.06))^2.5+K71/(1+(F$122+$A125*0.06))^3.5+L71/(1+(F$122+$A125*0.06))^4.5+M71/(1+(F$122+$A125*0.06))^5.5+N71/(1+(F$122+$A125*0.06))^6.5+O71/(1+(F$122+$A125*0.06))^7.5+P71/(1+(F$122+$A125*0.06))^8.5+Q71/(1+(F$122+$A125*0.06))^9.5+(Q71*(1+$B$52)/((F$122+$A125*0.06)-$B$52))/(1+(F$122+$A125*0.06))^9.5)-B83-B84)*100/B86,NA())</f>
        <v/>
      </c>
      <c r="G125" s="12" t="n"/>
    </row>
    <row r="126">
      <c r="A126" s="59" t="n">
        <v>0.894</v>
      </c>
      <c r="B126" s="53">
        <f>IFERROR(((H71/(1+(B$122+$A126*0.06))^0.5+I71/(1+(B$122+$A126*0.06))^1.5+J71/(1+(B$122+$A126*0.06))^2.5+K71/(1+(B$122+$A126*0.06))^3.5+L71/(1+(B$122+$A126*0.06))^4.5+M71/(1+(B$122+$A126*0.06))^5.5+N71/(1+(B$122+$A126*0.06))^6.5+O71/(1+(B$122+$A126*0.06))^7.5+P71/(1+(B$122+$A126*0.06))^8.5+Q71/(1+(B$122+$A126*0.06))^9.5+(Q71*(1+$B$52)/((B$122+$A126*0.06)-$B$52))/(1+(B$122+$A126*0.06))^9.5)-B83-B84)*100/B86,NA())</f>
        <v/>
      </c>
      <c r="C126" s="53">
        <f>IFERROR(((H71/(1+(C$122+$A126*0.06))^0.5+I71/(1+(C$122+$A126*0.06))^1.5+J71/(1+(C$122+$A126*0.06))^2.5+K71/(1+(C$122+$A126*0.06))^3.5+L71/(1+(C$122+$A126*0.06))^4.5+M71/(1+(C$122+$A126*0.06))^5.5+N71/(1+(C$122+$A126*0.06))^6.5+O71/(1+(C$122+$A126*0.06))^7.5+P71/(1+(C$122+$A126*0.06))^8.5+Q71/(1+(C$122+$A126*0.06))^9.5+(Q71*(1+$B$52)/((C$122+$A126*0.06)-$B$52))/(1+(C$122+$A126*0.06))^9.5)-B83-B84)*100/B86,NA())</f>
        <v/>
      </c>
      <c r="D126" s="53">
        <f>IFERROR(((H71/(1+(D$122+$A126*0.06))^0.5+I71/(1+(D$122+$A126*0.06))^1.5+J71/(1+(D$122+$A126*0.06))^2.5+K71/(1+(D$122+$A126*0.06))^3.5+L71/(1+(D$122+$A126*0.06))^4.5+M71/(1+(D$122+$A126*0.06))^5.5+N71/(1+(D$122+$A126*0.06))^6.5+O71/(1+(D$122+$A126*0.06))^7.5+P71/(1+(D$122+$A126*0.06))^8.5+Q71/(1+(D$122+$A126*0.06))^9.5+(Q71*(1+$B$52)/((D$122+$A126*0.06)-$B$52))/(1+(D$122+$A126*0.06))^9.5)-B83-B84)*100/B86,NA())</f>
        <v/>
      </c>
      <c r="E126" s="53">
        <f>IFERROR(((H71/(1+(E$122+$A126*0.06))^0.5+I71/(1+(E$122+$A126*0.06))^1.5+J71/(1+(E$122+$A126*0.06))^2.5+K71/(1+(E$122+$A126*0.06))^3.5+L71/(1+(E$122+$A126*0.06))^4.5+M71/(1+(E$122+$A126*0.06))^5.5+N71/(1+(E$122+$A126*0.06))^6.5+O71/(1+(E$122+$A126*0.06))^7.5+P71/(1+(E$122+$A126*0.06))^8.5+Q71/(1+(E$122+$A126*0.06))^9.5+(Q71*(1+$B$52)/((E$122+$A126*0.06)-$B$52))/(1+(E$122+$A126*0.06))^9.5)-B83-B84)*100/B86,NA())</f>
        <v/>
      </c>
      <c r="F126" s="53">
        <f>IFERROR(((H71/(1+(F$122+$A126*0.06))^0.5+I71/(1+(F$122+$A126*0.06))^1.5+J71/(1+(F$122+$A126*0.06))^2.5+K71/(1+(F$122+$A126*0.06))^3.5+L71/(1+(F$122+$A126*0.06))^4.5+M71/(1+(F$122+$A126*0.06))^5.5+N71/(1+(F$122+$A126*0.06))^6.5+O71/(1+(F$122+$A126*0.06))^7.5+P71/(1+(F$122+$A126*0.06))^8.5+Q71/(1+(F$122+$A126*0.06))^9.5+(Q71*(1+$B$52)/((F$122+$A126*0.06)-$B$52))/(1+(F$122+$A126*0.06))^9.5)-B83-B84)*100/B86,NA())</f>
        <v/>
      </c>
      <c r="G126" s="12" t="n"/>
    </row>
    <row r="127">
      <c r="A127" s="60" t="n">
        <v>0.994</v>
      </c>
      <c r="B127" s="55">
        <f>IFERROR(((H71/(1+(B$122+$A127*0.06))^0.5+I71/(1+(B$122+$A127*0.06))^1.5+J71/(1+(B$122+$A127*0.06))^2.5+K71/(1+(B$122+$A127*0.06))^3.5+L71/(1+(B$122+$A127*0.06))^4.5+M71/(1+(B$122+$A127*0.06))^5.5+N71/(1+(B$122+$A127*0.06))^6.5+O71/(1+(B$122+$A127*0.06))^7.5+P71/(1+(B$122+$A127*0.06))^8.5+Q71/(1+(B$122+$A127*0.06))^9.5+(Q71*(1+$B$52)/((B$122+$A127*0.06)-$B$52))/(1+(B$122+$A127*0.06))^9.5)-B83-B84)*100/B86,NA())</f>
        <v/>
      </c>
      <c r="C127" s="55">
        <f>IFERROR(((H71/(1+(C$122+$A127*0.06))^0.5+I71/(1+(C$122+$A127*0.06))^1.5+J71/(1+(C$122+$A127*0.06))^2.5+K71/(1+(C$122+$A127*0.06))^3.5+L71/(1+(C$122+$A127*0.06))^4.5+M71/(1+(C$122+$A127*0.06))^5.5+N71/(1+(C$122+$A127*0.06))^6.5+O71/(1+(C$122+$A127*0.06))^7.5+P71/(1+(C$122+$A127*0.06))^8.5+Q71/(1+(C$122+$A127*0.06))^9.5+(Q71*(1+$B$52)/((C$122+$A127*0.06)-$B$52))/(1+(C$122+$A127*0.06))^9.5)-B83-B84)*100/B86,NA())</f>
        <v/>
      </c>
      <c r="D127" s="55">
        <f>IFERROR(((H71/(1+(D$122+$A127*0.06))^0.5+I71/(1+(D$122+$A127*0.06))^1.5+J71/(1+(D$122+$A127*0.06))^2.5+K71/(1+(D$122+$A127*0.06))^3.5+L71/(1+(D$122+$A127*0.06))^4.5+M71/(1+(D$122+$A127*0.06))^5.5+N71/(1+(D$122+$A127*0.06))^6.5+O71/(1+(D$122+$A127*0.06))^7.5+P71/(1+(D$122+$A127*0.06))^8.5+Q71/(1+(D$122+$A127*0.06))^9.5+(Q71*(1+$B$52)/((D$122+$A127*0.06)-$B$52))/(1+(D$122+$A127*0.06))^9.5)-B83-B84)*100/B86,NA())</f>
        <v/>
      </c>
      <c r="E127" s="55">
        <f>IFERROR(((H71/(1+(E$122+$A127*0.06))^0.5+I71/(1+(E$122+$A127*0.06))^1.5+J71/(1+(E$122+$A127*0.06))^2.5+K71/(1+(E$122+$A127*0.06))^3.5+L71/(1+(E$122+$A127*0.06))^4.5+M71/(1+(E$122+$A127*0.06))^5.5+N71/(1+(E$122+$A127*0.06))^6.5+O71/(1+(E$122+$A127*0.06))^7.5+P71/(1+(E$122+$A127*0.06))^8.5+Q71/(1+(E$122+$A127*0.06))^9.5+(Q71*(1+$B$52)/((E$122+$A127*0.06)-$B$52))/(1+(E$122+$A127*0.06))^9.5)-B83-B84)*100/B86,NA())</f>
        <v/>
      </c>
      <c r="F127" s="55">
        <f>IFERROR(((H71/(1+(F$122+$A127*0.06))^0.5+I71/(1+(F$122+$A127*0.06))^1.5+J71/(1+(F$122+$A127*0.06))^2.5+K71/(1+(F$122+$A127*0.06))^3.5+L71/(1+(F$122+$A127*0.06))^4.5+M71/(1+(F$122+$A127*0.06))^5.5+N71/(1+(F$122+$A127*0.06))^6.5+O71/(1+(F$122+$A127*0.06))^7.5+P71/(1+(F$122+$A127*0.06))^8.5+Q71/(1+(F$122+$A127*0.06))^9.5+(Q71*(1+$B$52)/((F$122+$A127*0.06)-$B$52))/(1+(F$122+$A127*0.06))^9.5)-B83-B84)*100/B86,NA())</f>
        <v/>
      </c>
      <c r="G127" s="18" t="n"/>
    </row>
  </sheetData>
  <mergeCells count="13">
    <mergeCell ref="A24:L24"/>
    <mergeCell ref="A97:G97"/>
    <mergeCell ref="A7:H7"/>
    <mergeCell ref="A77:D77"/>
    <mergeCell ref="A121:G121"/>
    <mergeCell ref="A55:Q55"/>
    <mergeCell ref="A45:L45"/>
    <mergeCell ref="A65:Q65"/>
    <mergeCell ref="A34:L34"/>
    <mergeCell ref="A109:G109"/>
    <mergeCell ref="A2:Q2"/>
    <mergeCell ref="A14:L14"/>
    <mergeCell ref="A1:Q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贵州茅台 (Kweichow Moutai) (600519.SH) — WACC Calculation</t>
        </is>
      </c>
    </row>
    <row r="3">
      <c r="A3" s="6" t="inlineStr">
        <is>
          <t>COST OF EQUITY (CAPM)</t>
        </is>
      </c>
      <c r="B3" s="7" t="n"/>
      <c r="C3" s="7" t="n"/>
      <c r="D3" s="8" t="n"/>
    </row>
    <row r="4">
      <c r="A4" s="9" t="inlineStr">
        <is>
          <t>Risk-Free Rate (中国 10Y 国债)</t>
        </is>
      </c>
      <c r="B4" s="22" t="n">
        <v>0.027</v>
      </c>
      <c r="C4" s="11" t="n"/>
      <c r="D4" s="12" t="n"/>
    </row>
    <row r="5">
      <c r="A5" s="9" t="inlineStr">
        <is>
          <t>Beta (3Y monthly vs 沪深 300)</t>
        </is>
      </c>
      <c r="B5" s="61" t="n">
        <v>0.794</v>
      </c>
      <c r="C5" s="11" t="n"/>
      <c r="D5" s="12" t="n"/>
    </row>
    <row r="6">
      <c r="A6" s="9" t="inlineStr">
        <is>
          <t>Equity Risk Premium (Damodaran China)</t>
        </is>
      </c>
      <c r="B6" s="22" t="n">
        <v>0.06</v>
      </c>
      <c r="C6" s="11" t="n"/>
      <c r="D6" s="12" t="n"/>
    </row>
    <row r="7">
      <c r="A7" s="27" t="inlineStr">
        <is>
          <t>Cost of Equity</t>
        </is>
      </c>
      <c r="B7" s="62">
        <f>B4+B5*B6</f>
        <v/>
      </c>
      <c r="C7" s="17" t="n"/>
      <c r="D7" s="18" t="n"/>
    </row>
    <row r="9">
      <c r="A9" s="6" t="inlineStr">
        <is>
          <t>COST OF DEBT</t>
        </is>
      </c>
      <c r="B9" s="7" t="n"/>
      <c r="C9" s="7" t="n"/>
      <c r="D9" s="8" t="n"/>
    </row>
    <row r="10">
      <c r="A10" s="9" t="inlineStr">
        <is>
          <t>Pre-Tax Cost of Debt</t>
        </is>
      </c>
      <c r="B10" s="22" t="n">
        <v>0</v>
      </c>
      <c r="C10" s="11" t="n"/>
      <c r="D10" s="12" t="n"/>
    </row>
    <row r="11">
      <c r="A11" s="9" t="inlineStr">
        <is>
          <t>Tax Rate</t>
        </is>
      </c>
      <c r="B11" s="22" t="n">
        <v>0.25</v>
      </c>
      <c r="C11" s="11" t="n"/>
      <c r="D11" s="12" t="n"/>
    </row>
    <row r="12">
      <c r="A12" s="27" t="inlineStr">
        <is>
          <t>After-Tax Cost of Debt</t>
        </is>
      </c>
      <c r="B12" s="62">
        <f>B10*(1-B11)</f>
        <v/>
      </c>
      <c r="C12" s="17" t="n"/>
      <c r="D12" s="18" t="n"/>
    </row>
    <row r="14">
      <c r="A14" s="6" t="inlineStr">
        <is>
          <t>CAPITAL STRUCTURE (亿元)</t>
        </is>
      </c>
      <c r="B14" s="7" t="n"/>
      <c r="C14" s="7" t="n"/>
      <c r="D14" s="8" t="n"/>
    </row>
    <row r="15">
      <c r="A15" s="9" t="inlineStr">
        <is>
          <t>Current Stock Price (¥)</t>
        </is>
      </c>
      <c r="B15" s="63" t="n">
        <v>1323</v>
      </c>
      <c r="C15" s="11" t="n"/>
      <c r="D15" s="12" t="n"/>
    </row>
    <row r="16">
      <c r="A16" s="9" t="inlineStr">
        <is>
          <t>Shares Outstanding (M)</t>
        </is>
      </c>
      <c r="B16" s="64" t="n">
        <v>1252.27</v>
      </c>
      <c r="C16" s="11" t="n"/>
      <c r="D16" s="12" t="n"/>
    </row>
    <row r="17">
      <c r="A17" s="24" t="inlineStr">
        <is>
          <t>Market Cap (亿元)</t>
        </is>
      </c>
      <c r="B17" s="65">
        <f>B15*B16/100</f>
        <v/>
      </c>
      <c r="C17" s="11" t="n"/>
      <c r="D17" s="12" t="n"/>
    </row>
    <row r="18">
      <c r="A18" s="9" t="inlineStr">
        <is>
          <t>Total Debt</t>
        </is>
      </c>
      <c r="B18" s="30" t="n">
        <v>0</v>
      </c>
      <c r="C18" s="11" t="n"/>
      <c r="D18" s="12" t="n"/>
    </row>
    <row r="19">
      <c r="A19" s="9" t="inlineStr">
        <is>
          <t>Cash &amp; Equivalents</t>
        </is>
      </c>
      <c r="B19" s="30" t="n">
        <v>516.9</v>
      </c>
      <c r="C19" s="11" t="n"/>
      <c r="D19" s="12" t="n"/>
    </row>
    <row r="20">
      <c r="A20" s="24" t="inlineStr">
        <is>
          <t>Net Debt (Total Debt − Cash)</t>
        </is>
      </c>
      <c r="B20" s="65">
        <f>B18-B19</f>
        <v/>
      </c>
      <c r="C20" s="11" t="n"/>
      <c r="D20" s="12" t="n"/>
    </row>
    <row r="21">
      <c r="A21" s="27" t="inlineStr">
        <is>
          <t>Enterprise Value</t>
        </is>
      </c>
      <c r="B21" s="66">
        <f>B17+B20</f>
        <v/>
      </c>
      <c r="C21" s="17" t="n"/>
      <c r="D21" s="18" t="n"/>
    </row>
    <row r="23">
      <c r="A23" s="6" t="inlineStr">
        <is>
          <t>WACC</t>
        </is>
      </c>
      <c r="B23" s="7" t="n"/>
      <c r="C23" s="7" t="n"/>
      <c r="D23" s="8" t="n"/>
    </row>
    <row r="24">
      <c r="A24" s="19" t="inlineStr">
        <is>
          <t>Component</t>
        </is>
      </c>
      <c r="B24" s="67" t="inlineStr">
        <is>
          <t>Weight</t>
        </is>
      </c>
      <c r="C24" s="67" t="inlineStr">
        <is>
          <t>Cost</t>
        </is>
      </c>
      <c r="D24" s="68" t="inlineStr">
        <is>
          <t>Contribution</t>
        </is>
      </c>
    </row>
    <row r="25">
      <c r="A25" s="9" t="inlineStr">
        <is>
          <t>Equity</t>
        </is>
      </c>
      <c r="B25" s="69">
        <f>IFERROR(B17/B21,1)</f>
        <v/>
      </c>
      <c r="C25" s="70">
        <f>B7</f>
        <v/>
      </c>
      <c r="D25" s="71">
        <f>B25*C25</f>
        <v/>
      </c>
    </row>
    <row r="26">
      <c r="A26" s="9" t="inlineStr">
        <is>
          <t>Debt</t>
        </is>
      </c>
      <c r="B26" s="69">
        <f>IFERROR(B20/B21,0)</f>
        <v/>
      </c>
      <c r="C26" s="70">
        <f>B12</f>
        <v/>
      </c>
      <c r="D26" s="71">
        <f>B26*C26</f>
        <v/>
      </c>
    </row>
    <row r="27">
      <c r="A27" s="27" t="inlineStr">
        <is>
          <t>WACC</t>
        </is>
      </c>
      <c r="B27" s="17" t="n"/>
      <c r="C27" s="17" t="n"/>
      <c r="D27" s="72">
        <f>D25+D26</f>
        <v/>
      </c>
    </row>
  </sheetData>
  <mergeCells count="5">
    <mergeCell ref="A1:D1"/>
    <mergeCell ref="A23:D23"/>
    <mergeCell ref="A9:D9"/>
    <mergeCell ref="A3:D3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2026-05-21T04:06:53Z</dcterms:created>
  <dcterms:modified xmlns:dcterms="http://purl.org/dc/terms/" xmlns:xsi="http://www.w3.org/2001/XMLSchema-instance" xsi:type="dcterms:W3CDTF">2026-05-21T04:06:53Z</dcterms:modified>
</cp:coreProperties>
</file>